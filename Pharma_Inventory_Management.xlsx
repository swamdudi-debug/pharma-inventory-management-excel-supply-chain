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ashboard" sheetId="2" state="visible" r:id="rId4"/>
    <sheet name="Product Master" sheetId="3" state="visible" r:id="rId5"/>
    <sheet name="Monthly Demand" sheetId="4" state="visible" r:id="rId6"/>
    <sheet name="Inventory Analysis" sheetId="5" state="visible" r:id="rId7"/>
    <sheet name="Expiry Tracker" sheetId="6" state="visible" r:id="rId8"/>
  </sheets>
  <definedNames>
    <definedName function="false" hidden="true" localSheetId="5" name="_xlnm._FilterDatabase" vbProcedure="false">'Expiry Tracker'!$A$1:$H$41</definedName>
    <definedName function="false" hidden="true" localSheetId="4" name="_xlnm._FilterDatabase" vbProcedure="false">'Inventory Analysis'!$A$4:$W$34</definedName>
    <definedName function="false" hidden="true" localSheetId="3" name="_xlnm._FilterDatabase" vbProcedure="false">'Monthly Demand'!$A$1:$Q$31</definedName>
    <definedName function="false" hidden="true" localSheetId="2" name="_xlnm._FilterDatabase" vbProcedure="false">'Product Master'!$A$1:$L$31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<sst xmlns="http://schemas.openxmlformats.org/spreadsheetml/2006/main" count="480" uniqueCount="228">
  <si>
    <t xml:space="preserve">Pharmaceutical Supply Chain &amp; Inventory Management</t>
  </si>
  <si>
    <t xml:space="preserve">A working Excel model: EOQ, Safety Stock, Reorder Point, ABC Analysis, Expiry Tracking &amp; Dashboard</t>
  </si>
  <si>
    <t xml:space="preserve">Workbook structure</t>
  </si>
  <si>
    <t xml:space="preserve">Product Master</t>
  </si>
  <si>
    <t xml:space="preserve">30 SKUs across 11 therapeutic categories with supplier, cost, price, current stock, lead time, ordering cost and holding cost. This is the master input sheet — blue text marks editable inputs.</t>
  </si>
  <si>
    <t xml:space="preserve">Monthly Demand</t>
  </si>
  <si>
    <t xml:space="preserve">12 months of unit demand per SKU (sample sales/dispensing history). Editable input sheet.</t>
  </si>
  <si>
    <t xml:space="preserve">Inventory Analysis</t>
  </si>
  <si>
    <t xml:space="preserve">The calculation engine. Pulls from the two sheets above via INDEX/MATCH and computes EOQ, Safety Stock, Reorder Point, ABC class and stock status automatically.</t>
  </si>
  <si>
    <t xml:space="preserve">Expiry Tracker</t>
  </si>
  <si>
    <t xml:space="preserve">Batch-level manufacture/expiry dates, used to flag near-expiry and expired stock — critical in pharma because expired inventory cannot be sold.</t>
  </si>
  <si>
    <t xml:space="preserve">Dashboard</t>
  </si>
  <si>
    <t xml:space="preserve">KPIs and charts summarizing inventory value, stock health, ABC mix and demand trend.</t>
  </si>
  <si>
    <t xml:space="preserve">Key formulas used</t>
  </si>
  <si>
    <t xml:space="preserve">Economic Order Quantity (EOQ)</t>
  </si>
  <si>
    <t xml:space="preserve">EOQ = SQRT( 2 x Annual Demand x Ordering Cost / Holding Cost per Unit )  — the order quantity that minimizes total ordering + holding cost.</t>
  </si>
  <si>
    <t xml:space="preserve">Holding Cost per Unit</t>
  </si>
  <si>
    <t xml:space="preserve">Unit Cost x Annual Holding Cost % (storage, insurance, spoilage/cold-chain risk, capital cost).</t>
  </si>
  <si>
    <t xml:space="preserve">Safety Stock</t>
  </si>
  <si>
    <t xml:space="preserve">Z x StdDev(Monthly Demand) x SQRT(Lead Time in days / 30)  — buffer stock for demand variability during lead time. Z = 1.65 for ~95% service level.</t>
  </si>
  <si>
    <t xml:space="preserve">Reorder Point (ROP)</t>
  </si>
  <si>
    <t xml:space="preserve">(Average Daily Demand x Lead Time in days) + Safety Stock — the stock level that triggers a new purchase order.</t>
  </si>
  <si>
    <t xml:space="preserve">ABC Analysis</t>
  </si>
  <si>
    <t xml:space="preserve">SKUs ranked by Annual Consumption Value; cumulative % of value used to bucket items into A (top ~70% of value), B (next ~20%) and C (remaining ~10%), following the Pareto principle.</t>
  </si>
  <si>
    <t xml:space="preserve">Stock Status</t>
  </si>
  <si>
    <t xml:space="preserve">Flags 'Reorder Now' when Current Stock &lt; Reorder Point, and 'Overstock' when Current Stock exceeds 2x EOQ.</t>
  </si>
  <si>
    <t xml:space="preserve">Expiry Status</t>
  </si>
  <si>
    <t xml:space="preserve">'Expired' if past expiry date, 'Expiring Soon' if within 90 days, else 'OK'. Dates are date-driven (TODAY()), so this updates automatically each time you open the file.</t>
  </si>
  <si>
    <t xml:space="preserve">How to use / extend this</t>
  </si>
  <si>
    <t xml:space="preserve">Update data</t>
  </si>
  <si>
    <t xml:space="preserve">Edit blue cells in Product Master, Monthly Demand and Expiry Tracker with your real data — every formula downstream recalculates automatically.</t>
  </si>
  <si>
    <t xml:space="preserve">Change service level</t>
  </si>
  <si>
    <t xml:space="preserve">Adjust the Z-value in Inventory Analysis (currently hardcoded as 1.65) to raise/lower safety stock — use 1.28 for 90%, 1.65 for 95%, 2.33 for 99% service level.</t>
  </si>
  <si>
    <t xml:space="preserve">Add new SKUs</t>
  </si>
  <si>
    <t xml:space="preserve">Insert a new row in Product Master and Monthly Demand with the same SKU ID, then copy the formula row down in Inventory Analysis.</t>
  </si>
  <si>
    <t xml:space="preserve">Color legend</t>
  </si>
  <si>
    <t xml:space="preserve">Blue text = input cell you can edit. Black text = formula (do not overtype). Sheet tab colors match this legend.</t>
  </si>
  <si>
    <t xml:space="preserve">Pharmaceutical Inventory Management Dashboard</t>
  </si>
  <si>
    <t xml:space="preserve">Live KPIs computed from Product Master, Inventory Analysis &amp; Expiry Tracker</t>
  </si>
  <si>
    <t xml:space="preserve">Total Active SKUs</t>
  </si>
  <si>
    <t xml:space="preserve">Total Inventory Value ($)</t>
  </si>
  <si>
    <t xml:space="preserve">Items Needing Reorder</t>
  </si>
  <si>
    <t xml:space="preserve">Overstocked Items</t>
  </si>
  <si>
    <t xml:space="preserve">Batches Expiring Soon (≤90d)</t>
  </si>
  <si>
    <t xml:space="preserve">Expired Batches</t>
  </si>
  <si>
    <t xml:space="preserve">Category</t>
  </si>
  <si>
    <t xml:space="preserve">Inventory Value ($)</t>
  </si>
  <si>
    <t xml:space="preserve">ABC Class</t>
  </si>
  <si>
    <t xml:space="preserve">SKU Count</t>
  </si>
  <si>
    <t xml:space="preserve">Analgesics</t>
  </si>
  <si>
    <t xml:space="preserve">Class A</t>
  </si>
  <si>
    <t xml:space="preserve">Antibiotics</t>
  </si>
  <si>
    <t xml:space="preserve">Class B</t>
  </si>
  <si>
    <t xml:space="preserve">Antidiabetics</t>
  </si>
  <si>
    <t xml:space="preserve">Class C</t>
  </si>
  <si>
    <t xml:space="preserve">Antihypertensives</t>
  </si>
  <si>
    <t xml:space="preserve">Antivirals</t>
  </si>
  <si>
    <t xml:space="preserve">Cardiovascular</t>
  </si>
  <si>
    <t xml:space="preserve">Dermatological</t>
  </si>
  <si>
    <t xml:space="preserve">OK</t>
  </si>
  <si>
    <t xml:space="preserve">Gastrointestinal</t>
  </si>
  <si>
    <t xml:space="preserve">Reorder Now</t>
  </si>
  <si>
    <t xml:space="preserve">Respiratory</t>
  </si>
  <si>
    <t xml:space="preserve">Overstock</t>
  </si>
  <si>
    <t xml:space="preserve">Vaccines</t>
  </si>
  <si>
    <t xml:space="preserve">Vitamins &amp; Supplements</t>
  </si>
  <si>
    <t xml:space="preserve">Month</t>
  </si>
  <si>
    <t xml:space="preserve">Total Units Demanded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</si>
  <si>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</si>
  <si>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</si>
  <si>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</si>
  <si>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</si>
  <si>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</si>
  <si>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</si>
  <si>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</si>
  <si>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</si>
  <si>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</si>
  <si>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</si>
  <si>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</si>
  <si>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</si>
  <si>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Helper tables above feed the charts below. Edit source data in Product Master / Monthly Demand / Expiry Tracker — every KPI and chart recalculates automatically.</t>
  </si>
  <si>
    <t xml:space="preserve">Top 10 SKUs by Inventory Value</t>
  </si>
  <si>
    <t xml:space="preserve">Product Name</t>
  </si>
  <si>
    <t xml:space="preserve">SKU ID</t>
  </si>
  <si>
    <t xml:space="preserve">Supplier</t>
  </si>
  <si>
    <t xml:space="preserve">Storage Condition</t>
  </si>
  <si>
    <t xml:space="preserve">Unit Cost ($)</t>
  </si>
  <si>
    <t xml:space="preserve">Selling Price ($)</t>
  </si>
  <si>
    <t xml:space="preserve">Current Stock (Units)</t>
  </si>
  <si>
    <t xml:space="preserve">Lead Time (Days)</t>
  </si>
  <si>
    <t xml:space="preserve">Ordering Cost/Order ($)</t>
  </si>
  <si>
    <t xml:space="preserve">Annual Holding Cost (%)</t>
  </si>
  <si>
    <t xml:space="preserve">Min Order Qty (Units)</t>
  </si>
  <si>
    <t xml:space="preserve">PH-001</t>
  </si>
  <si>
    <t xml:space="preserve">Paracetamol 500mg Tablets</t>
  </si>
  <si>
    <t xml:space="preserve">MedSource Distributors</t>
  </si>
  <si>
    <t xml:space="preserve">Room Temp (15-25°C)</t>
  </si>
  <si>
    <t xml:space="preserve">PH-002</t>
  </si>
  <si>
    <t xml:space="preserve">Ibuprofen 400mg Tablets</t>
  </si>
  <si>
    <t xml:space="preserve">Generic Pharma Supplies Ltd</t>
  </si>
  <si>
    <t xml:space="preserve">PH-003</t>
  </si>
  <si>
    <t xml:space="preserve">Aspirin 75mg Tablets</t>
  </si>
  <si>
    <t xml:space="preserve">Global Health Logistics</t>
  </si>
  <si>
    <t xml:space="preserve">PH-004</t>
  </si>
  <si>
    <t xml:space="preserve">Diclofenac Gel 1%</t>
  </si>
  <si>
    <t xml:space="preserve">BioMed Partners Inc.</t>
  </si>
  <si>
    <t xml:space="preserve">PH-005</t>
  </si>
  <si>
    <t xml:space="preserve">Amoxicillin 500mg Capsules</t>
  </si>
  <si>
    <t xml:space="preserve">CarePlus Pharmaceuticals</t>
  </si>
  <si>
    <t xml:space="preserve">PH-006</t>
  </si>
  <si>
    <t xml:space="preserve">Azithromycin 250mg Tablets</t>
  </si>
  <si>
    <t xml:space="preserve">PharmaLink Trading Co.</t>
  </si>
  <si>
    <t xml:space="preserve">PH-007</t>
  </si>
  <si>
    <t xml:space="preserve">Ciprofloxacin 500mg Tablets</t>
  </si>
  <si>
    <t xml:space="preserve">PH-008</t>
  </si>
  <si>
    <t xml:space="preserve">Doxycycline 100mg Capsules</t>
  </si>
  <si>
    <t xml:space="preserve">PH-009</t>
  </si>
  <si>
    <t xml:space="preserve">Metronidazole 400mg Tablets</t>
  </si>
  <si>
    <t xml:space="preserve">PH-010</t>
  </si>
  <si>
    <t xml:space="preserve">Metformin 500mg Tablets</t>
  </si>
  <si>
    <t xml:space="preserve">PH-011</t>
  </si>
  <si>
    <t xml:space="preserve">Insulin Glargine Injection</t>
  </si>
  <si>
    <t xml:space="preserve">Cold Chain (2-8°C)</t>
  </si>
  <si>
    <t xml:space="preserve">PH-012</t>
  </si>
  <si>
    <t xml:space="preserve">Glimepiride 2mg Tablets</t>
  </si>
  <si>
    <t xml:space="preserve">PH-013</t>
  </si>
  <si>
    <t xml:space="preserve">Amlodipine 5mg Tablets</t>
  </si>
  <si>
    <t xml:space="preserve">PH-014</t>
  </si>
  <si>
    <t xml:space="preserve">Losartan 50mg Tablets</t>
  </si>
  <si>
    <t xml:space="preserve">PH-015</t>
  </si>
  <si>
    <t xml:space="preserve">Atorvastatin 20mg Tablets</t>
  </si>
  <si>
    <t xml:space="preserve">PH-016</t>
  </si>
  <si>
    <t xml:space="preserve">Warfarin 5mg Tablets</t>
  </si>
  <si>
    <t xml:space="preserve">PH-017</t>
  </si>
  <si>
    <t xml:space="preserve">Oseltamivir 75mg Capsules</t>
  </si>
  <si>
    <t xml:space="preserve">PH-018</t>
  </si>
  <si>
    <t xml:space="preserve">Acyclovir 400mg Tablets</t>
  </si>
  <si>
    <t xml:space="preserve">PH-019</t>
  </si>
  <si>
    <t xml:space="preserve">Influenza Vaccine (Dose)</t>
  </si>
  <si>
    <t xml:space="preserve">PH-020</t>
  </si>
  <si>
    <t xml:space="preserve">Hepatitis B Vaccine (Dose)</t>
  </si>
  <si>
    <t xml:space="preserve">PH-021</t>
  </si>
  <si>
    <t xml:space="preserve">Tetanus Toxoid Vaccine (Dose)</t>
  </si>
  <si>
    <t xml:space="preserve">PH-022</t>
  </si>
  <si>
    <t xml:space="preserve">Vitamin D3 1000IU Tablets</t>
  </si>
  <si>
    <t xml:space="preserve">PH-023</t>
  </si>
  <si>
    <t xml:space="preserve">Multivitamin Tablets</t>
  </si>
  <si>
    <t xml:space="preserve">PH-024</t>
  </si>
  <si>
    <t xml:space="preserve">Folic Acid 5mg Tablets</t>
  </si>
  <si>
    <t xml:space="preserve">PH-025</t>
  </si>
  <si>
    <t xml:space="preserve">Salbutamol Inhaler 100mcg</t>
  </si>
  <si>
    <t xml:space="preserve">PH-026</t>
  </si>
  <si>
    <t xml:space="preserve">Montelukast 10mg Tablets</t>
  </si>
  <si>
    <t xml:space="preserve">PH-027</t>
  </si>
  <si>
    <t xml:space="preserve">Omeprazole 20mg Capsules</t>
  </si>
  <si>
    <t xml:space="preserve">PH-028</t>
  </si>
  <si>
    <t xml:space="preserve">Ranitidine 150mg Tablets</t>
  </si>
  <si>
    <t xml:space="preserve">PH-029</t>
  </si>
  <si>
    <t xml:space="preserve">ORS Sachets</t>
  </si>
  <si>
    <t xml:space="preserve">PH-030</t>
  </si>
  <si>
    <t xml:space="preserve">Hydrocortisone Cream 1%</t>
  </si>
  <si>
    <t xml:space="preserve">Note: Sample data generated for this project template. Replace with actual ERP/WMS export (SKU master, cost, supplier lead times) when adapting to a real pharmacy or distributor.</t>
  </si>
  <si>
    <t xml:space="preserve">Total Annual Demand</t>
  </si>
  <si>
    <t xml:space="preserve">Avg Monthly Demand</t>
  </si>
  <si>
    <t xml:space="preserve">Std Dev Monthly Demand</t>
  </si>
  <si>
    <t xml:space="preserve">Inventory Analysis — EOQ, Safety Stock, Reorder Point &amp; ABC Classification</t>
  </si>
  <si>
    <t xml:space="preserve">Service Level Z-Score:</t>
  </si>
  <si>
    <t xml:space="preserve">(1.28 = 90% service level, 1.65 = 95%, 2.33 = 99%)</t>
  </si>
  <si>
    <t xml:space="preserve">Current Stock</t>
  </si>
  <si>
    <t xml:space="preserve">Annual Demand</t>
  </si>
  <si>
    <t xml:space="preserve">StdDev Monthly Demand</t>
  </si>
  <si>
    <t xml:space="preserve">Ordering Cost ($)</t>
  </si>
  <si>
    <t xml:space="preserve">Holding Cost (%)</t>
  </si>
  <si>
    <t xml:space="preserve">Holding Cost/Unit ($)</t>
  </si>
  <si>
    <t xml:space="preserve">EOQ (Units)</t>
  </si>
  <si>
    <t xml:space="preserve">Avg Daily Demand</t>
  </si>
  <si>
    <t xml:space="preserve">Safety Stock (Units)</t>
  </si>
  <si>
    <t xml:space="preserve">Reorder Point (Units)</t>
  </si>
  <si>
    <t xml:space="preserve">Annual Inventory Value ($)</t>
  </si>
  <si>
    <t xml:space="preserve">Value Rank</t>
  </si>
  <si>
    <t xml:space="preserve">Cumulative Value ($)</t>
  </si>
  <si>
    <t xml:space="preserve">Cumulative %</t>
  </si>
  <si>
    <t xml:space="preserve">Suggested Order Qty (Units)</t>
  </si>
  <si>
    <t xml:space="preserve">Batch No.</t>
  </si>
  <si>
    <t xml:space="preserve">Manufacture Date</t>
  </si>
  <si>
    <t xml:space="preserve">Expiry Date</t>
  </si>
  <si>
    <t xml:space="preserve">Batch Quantity (Units)</t>
  </si>
  <si>
    <t xml:space="preserve">Days to Expiry</t>
  </si>
  <si>
    <t xml:space="preserve">B001-1</t>
  </si>
  <si>
    <t xml:space="preserve">B002-1</t>
  </si>
  <si>
    <t xml:space="preserve">B003-1</t>
  </si>
  <si>
    <t xml:space="preserve">B004-1</t>
  </si>
  <si>
    <t xml:space="preserve">B005-1</t>
  </si>
  <si>
    <t xml:space="preserve">B006-1</t>
  </si>
  <si>
    <t xml:space="preserve">B007-1</t>
  </si>
  <si>
    <t xml:space="preserve">B008-1</t>
  </si>
  <si>
    <t xml:space="preserve">B009-1</t>
  </si>
  <si>
    <t xml:space="preserve">B010-1</t>
  </si>
  <si>
    <t xml:space="preserve">B011-1</t>
  </si>
  <si>
    <t xml:space="preserve">B012-1</t>
  </si>
  <si>
    <t xml:space="preserve">B013-1</t>
  </si>
  <si>
    <t xml:space="preserve">B014-1</t>
  </si>
  <si>
    <t xml:space="preserve">B015-1</t>
  </si>
  <si>
    <t xml:space="preserve">B016-1</t>
  </si>
  <si>
    <t xml:space="preserve">B017-1</t>
  </si>
  <si>
    <t xml:space="preserve">B018-1</t>
  </si>
  <si>
    <t xml:space="preserve">B019-1</t>
  </si>
  <si>
    <t xml:space="preserve">B020-1</t>
  </si>
  <si>
    <t xml:space="preserve">B021-1</t>
  </si>
  <si>
    <t xml:space="preserve">B022-1</t>
  </si>
  <si>
    <t xml:space="preserve">B023-1</t>
  </si>
  <si>
    <t xml:space="preserve">B024-1</t>
  </si>
  <si>
    <t xml:space="preserve">B025-1</t>
  </si>
  <si>
    <t xml:space="preserve">B026-1</t>
  </si>
  <si>
    <t xml:space="preserve">B027-1</t>
  </si>
  <si>
    <t xml:space="preserve">B028-1</t>
  </si>
  <si>
    <t xml:space="preserve">B029-1</t>
  </si>
  <si>
    <t xml:space="preserve">B030-1</t>
  </si>
  <si>
    <t xml:space="preserve">B001-2</t>
  </si>
  <si>
    <t xml:space="preserve">B005-2</t>
  </si>
  <si>
    <t xml:space="preserve">B011-2</t>
  </si>
  <si>
    <t xml:space="preserve">B019-2</t>
  </si>
  <si>
    <t xml:space="preserve">B029-2</t>
  </si>
  <si>
    <t xml:space="preserve">B010-2</t>
  </si>
  <si>
    <t xml:space="preserve">B022-2</t>
  </si>
  <si>
    <t xml:space="preserve">B028-2</t>
  </si>
  <si>
    <t xml:space="preserve">B002-2</t>
  </si>
  <si>
    <t xml:space="preserve">B017-2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</si>
</sst>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\$#,##0"/>
    <numFmt numFmtId="167" formatCode="\$#,##0.000"/>
    <numFmt numFmtId="168" formatCode="0"/>
    <numFmt numFmtId="169" formatCode="\$#,##0.00"/>
    <numFmt numFmtId="170" formatCode="0.0%"/>
    <numFmt numFmtId="171" formatCode="\$#,##0.0000"/>
    <numFmt numFmtId="172" formatCode="#,##0.0"/>
    <numFmt numFmtId="173" formatCode="dd\-mmm\-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13"/>
      <color rgb="FF1F4E7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B9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A7EBB"/>
      <rgbColor rgb="FF33CCCC"/>
      <rgbColor rgb="FF9BBB59"/>
      <rgbColor rgb="FFFFCC00"/>
      <rgbColor rgb="FFFF9900"/>
      <rgbColor rgb="FFFF6600"/>
      <rgbColor rgb="FF595959"/>
      <rgbColor rgb="FF878787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Inventory Value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Dashboard!B8</c:f>
              <c:strCache>
                <c:ptCount val="1"/>
                <c:pt idx="0">
                  <c:v>Inventory Value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Dashboard!$A$9:$A$19</c:f>
              <c:strCache>
                <c:ptCount val="11"/>
                <c:pt idx="0">
                  <c:v>Analgesics</c:v>
                </c:pt>
                <c:pt idx="1">
                  <c:v>Antibiotics</c:v>
                </c:pt>
                <c:pt idx="2">
                  <c:v>Antidiabetics</c:v>
                </c:pt>
                <c:pt idx="3">
                  <c:v>Antihypertensives</c:v>
                </c:pt>
                <c:pt idx="4">
                  <c:v>Antivirals</c:v>
                </c:pt>
                <c:pt idx="5">
                  <c:v>Cardiovascular</c:v>
                </c:pt>
                <c:pt idx="6">
                  <c:v>Dermatological</c:v>
                </c:pt>
                <c:pt idx="7">
                  <c:v>Gastrointestinal</c:v>
                </c:pt>
                <c:pt idx="8">
                  <c:v>Respiratory</c:v>
                </c:pt>
                <c:pt idx="9">
                  <c:v>Vaccines</c:v>
                </c:pt>
                <c:pt idx="10">
                  <c:v>Vitamins &amp; Supplements</c:v>
                </c:pt>
              </c:strCache>
            </c:strRef>
          </c:cat>
          <c:val>
            <c:numRef>
              <c:f>Dashboard!$B$9:$B$19</c:f>
              <c:numCache>
                <c:formatCode>\$#,##0</c:formatCode>
                <c:ptCount val="11"/>
                <c:pt idx="0">
                  <c:v>1259.003</c:v>
                </c:pt>
                <c:pt idx="1">
                  <c:v>6116.605</c:v>
                </c:pt>
                <c:pt idx="2">
                  <c:v>8125.41</c:v>
                </c:pt>
                <c:pt idx="3">
                  <c:v>239.483</c:v>
                </c:pt>
                <c:pt idx="4">
                  <c:v>8072.884</c:v>
                </c:pt>
                <c:pt idx="5">
                  <c:v>1041.619</c:v>
                </c:pt>
                <c:pt idx="6">
                  <c:v>924.768</c:v>
                </c:pt>
                <c:pt idx="7">
                  <c:v>1897.368</c:v>
                </c:pt>
                <c:pt idx="8">
                  <c:v>2247.581</c:v>
                </c:pt>
                <c:pt idx="9">
                  <c:v>6249.69</c:v>
                </c:pt>
                <c:pt idx="10">
                  <c:v>1180.089</c:v>
                </c:pt>
              </c:numCache>
            </c:numRef>
          </c:val>
        </c:ser>
        <c:gapWidth val="150"/>
        <c:overlap val="0"/>
        <c:axId val="30520457"/>
        <c:axId val="45295340"/>
      </c:barChart>
      <c:catAx>
        <c:axId val="305204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295340"/>
        <c:crosses val="autoZero"/>
        <c:auto val="1"/>
        <c:lblAlgn val="ctr"/>
        <c:lblOffset val="100"/>
        <c:noMultiLvlLbl val="0"/>
      </c:catAx>
      <c:valAx>
        <c:axId val="452953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5204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ABC Classification (by SKU count)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Dashboard!E8</c:f>
              <c:strCache>
                <c:ptCount val="1"/>
                <c:pt idx="0">
                  <c:v>SKU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Dashboard!$D$9:$D$11</c:f>
              <c:strCache>
                <c:ptCount val="3"/>
                <c:pt idx="0">
                  <c:v>Class A</c:v>
                </c:pt>
                <c:pt idx="1">
                  <c:v>Class B</c:v>
                </c:pt>
                <c:pt idx="2">
                  <c:v>Class C</c:v>
                </c:pt>
              </c:strCache>
            </c:strRef>
          </c:cat>
          <c:val>
            <c:numRef>
              <c:f>Dashboard!$E$9:$E$11</c:f>
              <c:numCache>
                <c:formatCode>General</c:formatCode>
                <c:ptCount val="3"/>
                <c:pt idx="0">
                  <c:v>7</c:v>
                </c:pt>
                <c:pt idx="1">
                  <c:v>7</c:v>
                </c:pt>
                <c:pt idx="2">
                  <c:v>16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Stock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Dashboard!E14</c:f>
              <c:strCache>
                <c:ptCount val="1"/>
                <c:pt idx="0">
                  <c:v>SKU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Dashboard!$D$15:$D$17</c:f>
              <c:strCache>
                <c:ptCount val="3"/>
                <c:pt idx="0">
                  <c:v>OK</c:v>
                </c:pt>
                <c:pt idx="1">
                  <c:v>Reorder Now</c:v>
                </c:pt>
                <c:pt idx="2">
                  <c:v>Overstock</c:v>
                </c:pt>
              </c:strCache>
            </c:strRef>
          </c:cat>
          <c:val>
            <c:numRef>
              <c:f>Dashboard!$E$15:$E$17</c:f>
              <c:numCache>
                <c:formatCode>General</c:formatCode>
                <c:ptCount val="3"/>
                <c:pt idx="0">
                  <c:v>21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Monthly Demand Trend (All SKUs)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Dashboard!B22</c:f>
              <c:strCache>
                <c:ptCount val="1"/>
                <c:pt idx="0">
                  <c:v>Total Units Demanded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Dashboard!$A$23:$A$34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Dashboard!$B$23:$B$34</c:f>
              <c:numCache>
                <c:formatCode>#,##0</c:formatCode>
                <c:ptCount val="12"/>
                <c:pt idx="0">
                  <c:v>11590</c:v>
                </c:pt>
                <c:pt idx="1">
                  <c:v>11174</c:v>
                </c:pt>
                <c:pt idx="2">
                  <c:v>10582</c:v>
                </c:pt>
                <c:pt idx="3">
                  <c:v>10198</c:v>
                </c:pt>
                <c:pt idx="4">
                  <c:v>10250</c:v>
                </c:pt>
                <c:pt idx="5">
                  <c:v>9884</c:v>
                </c:pt>
                <c:pt idx="6">
                  <c:v>10000</c:v>
                </c:pt>
                <c:pt idx="7">
                  <c:v>10356</c:v>
                </c:pt>
                <c:pt idx="8">
                  <c:v>10674</c:v>
                </c:pt>
                <c:pt idx="9">
                  <c:v>10830</c:v>
                </c:pt>
                <c:pt idx="10">
                  <c:v>11525</c:v>
                </c:pt>
                <c:pt idx="11">
                  <c:v>11827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594487"/>
        <c:axId val="87148159"/>
      </c:lineChart>
      <c:catAx>
        <c:axId val="365944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48159"/>
        <c:crosses val="autoZero"/>
        <c:auto val="1"/>
        <c:lblAlgn val="ctr"/>
        <c:lblOffset val="100"/>
        <c:noMultiLvlLbl val="0"/>
      </c:catAx>
      <c:valAx>
        <c:axId val="871481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5944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SKUs by Inventory Value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Dashboard!B41</c:f>
              <c:strCache>
                <c:ptCount val="1"/>
                <c:pt idx="0">
                  <c:v>Inventory Value ($)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Dashboard!$A$42:$A$51</c:f>
              <c:strCache>
                <c:ptCount val="10"/>
                <c:pt idx="0">
                  <c:v>Acyclovir 400mg Tablets</c:v>
                </c:pt>
                <c:pt idx="1">
                  <c:v>Insulin Glargine Injection</c:v>
                </c:pt>
                <c:pt idx="2">
                  <c:v>Tetanus Toxoid Vaccine (Dose)</c:v>
                </c:pt>
                <c:pt idx="3">
                  <c:v>Influenza Vaccine (Dose)</c:v>
                </c:pt>
                <c:pt idx="4">
                  <c:v>Montelukast 10mg Tablets</c:v>
                </c:pt>
                <c:pt idx="5">
                  <c:v>Doxycycline 100mg Capsules</c:v>
                </c:pt>
                <c:pt idx="6">
                  <c:v>Azithromycin 250mg Tablets</c:v>
                </c:pt>
                <c:pt idx="7">
                  <c:v>Ciprofloxacin 500mg Tablets</c:v>
                </c:pt>
                <c:pt idx="8">
                  <c:v>Metformin 500mg Tablets</c:v>
                </c:pt>
                <c:pt idx="9">
                  <c:v>Hydrocortisone Cream 1%</c:v>
                </c:pt>
              </c:strCache>
            </c:strRef>
          </c:cat>
          <c:val>
            <c:numRef>
              <c:f>Dashboard!$B$42:$B$51</c:f>
              <c:numCache>
                <c:formatCode>\$#,##0</c:formatCode>
                <c:ptCount val="10"/>
                <c:pt idx="0">
                  <c:v>7377.244</c:v>
                </c:pt>
                <c:pt idx="1">
                  <c:v>6569.64</c:v>
                </c:pt>
                <c:pt idx="2">
                  <c:v>3874.44</c:v>
                </c:pt>
                <c:pt idx="3">
                  <c:v>2304.45</c:v>
                </c:pt>
                <c:pt idx="4">
                  <c:v>2211.545</c:v>
                </c:pt>
                <c:pt idx="5">
                  <c:v>2069.464</c:v>
                </c:pt>
                <c:pt idx="6">
                  <c:v>1737.285</c:v>
                </c:pt>
                <c:pt idx="7">
                  <c:v>1552.284</c:v>
                </c:pt>
                <c:pt idx="8">
                  <c:v>1313.73</c:v>
                </c:pt>
                <c:pt idx="9">
                  <c:v>924.768</c:v>
                </c:pt>
              </c:numCache>
            </c:numRef>
          </c:val>
        </c:ser>
        <c:gapWidth val="150"/>
        <c:overlap val="0"/>
        <c:axId val="61804929"/>
        <c:axId val="27095559"/>
      </c:barChart>
      <c:catAx>
        <c:axId val="618049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095559"/>
        <c:crosses val="autoZero"/>
        <c:auto val="1"/>
        <c:lblAlgn val="ctr"/>
        <c:lblOffset val="100"/>
        <c:noMultiLvlLbl val="0"/>
      </c:catAx>
      <c:valAx>
        <c:axId val="270955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8049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131040</xdr:rowOff>
    </xdr:from>
    <xdr:to>
      <xdr:col>11</xdr:col>
      <xdr:colOff>966600</xdr:colOff>
      <xdr:row>15</xdr:row>
      <xdr:rowOff>153000</xdr:rowOff>
    </xdr:to>
    <xdr:graphicFrame>
      <xdr:nvGraphicFramePr>
        <xdr:cNvPr id="0" name="Chart 1"/>
        <xdr:cNvGraphicFramePr/>
      </xdr:nvGraphicFramePr>
      <xdr:xfrm>
        <a:off x="718956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</xdr:row>
      <xdr:rowOff>131040</xdr:rowOff>
    </xdr:from>
    <xdr:to>
      <xdr:col>19</xdr:col>
      <xdr:colOff>542160</xdr:colOff>
      <xdr:row>15</xdr:row>
      <xdr:rowOff>153000</xdr:rowOff>
    </xdr:to>
    <xdr:graphicFrame>
      <xdr:nvGraphicFramePr>
        <xdr:cNvPr id="1" name="Chart 2"/>
        <xdr:cNvGraphicFramePr/>
      </xdr:nvGraphicFramePr>
      <xdr:xfrm>
        <a:off x="14849640" y="57168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2</xdr:row>
      <xdr:rowOff>131040</xdr:rowOff>
    </xdr:from>
    <xdr:to>
      <xdr:col>25</xdr:col>
      <xdr:colOff>542160</xdr:colOff>
      <xdr:row>15</xdr:row>
      <xdr:rowOff>153000</xdr:rowOff>
    </xdr:to>
    <xdr:graphicFrame>
      <xdr:nvGraphicFramePr>
        <xdr:cNvPr id="2" name="Chart 3"/>
        <xdr:cNvGraphicFramePr/>
      </xdr:nvGraphicFramePr>
      <xdr:xfrm>
        <a:off x="18518400" y="57168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18</xdr:row>
      <xdr:rowOff>131040</xdr:rowOff>
    </xdr:from>
    <xdr:to>
      <xdr:col>11</xdr:col>
      <xdr:colOff>966600</xdr:colOff>
      <xdr:row>33</xdr:row>
      <xdr:rowOff>153000</xdr:rowOff>
    </xdr:to>
    <xdr:graphicFrame>
      <xdr:nvGraphicFramePr>
        <xdr:cNvPr id="3" name="Chart 4"/>
        <xdr:cNvGraphicFramePr/>
      </xdr:nvGraphicFramePr>
      <xdr:xfrm>
        <a:off x="7189560" y="4000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38</xdr:row>
      <xdr:rowOff>131040</xdr:rowOff>
    </xdr:from>
    <xdr:to>
      <xdr:col>11</xdr:col>
      <xdr:colOff>966600</xdr:colOff>
      <xdr:row>55</xdr:row>
      <xdr:rowOff>132120</xdr:rowOff>
    </xdr:to>
    <xdr:graphicFrame>
      <xdr:nvGraphicFramePr>
        <xdr:cNvPr id="4" name="Chart 5"/>
        <xdr:cNvGraphicFramePr/>
      </xdr:nvGraphicFramePr>
      <xdr:xfrm>
        <a:off x="7189560" y="7810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B2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30" hidden="false" customHeight="true" outlineLevel="0" collapsed="false">
      <c r="B6" s="4" t="s">
        <v>3</v>
      </c>
      <c r="C6" s="5" t="s">
        <v>4</v>
      </c>
    </row>
    <row r="7" customFormat="false" ht="30" hidden="false" customHeight="true" outlineLevel="0" collapsed="false">
      <c r="B7" s="4" t="s">
        <v>5</v>
      </c>
      <c r="C7" s="5" t="s">
        <v>6</v>
      </c>
    </row>
    <row r="8" customFormat="false" ht="30" hidden="false" customHeight="true" outlineLevel="0" collapsed="false">
      <c r="B8" s="4" t="s">
        <v>7</v>
      </c>
      <c r="C8" s="5" t="s">
        <v>8</v>
      </c>
    </row>
    <row r="9" customFormat="false" ht="30" hidden="false" customHeight="true" outlineLevel="0" collapsed="false">
      <c r="B9" s="4" t="s">
        <v>9</v>
      </c>
      <c r="C9" s="5" t="s">
        <v>10</v>
      </c>
    </row>
    <row r="10" customFormat="false" ht="30" hidden="false" customHeight="true" outlineLevel="0" collapsed="false">
      <c r="B10" s="4" t="s">
        <v>11</v>
      </c>
      <c r="C10" s="5" t="s">
        <v>12</v>
      </c>
    </row>
    <row r="12" customFormat="false" ht="15" hidden="false" customHeight="false" outlineLevel="0" collapsed="false">
      <c r="B12" s="3" t="s">
        <v>13</v>
      </c>
    </row>
    <row r="13" customFormat="false" ht="30" hidden="false" customHeight="true" outlineLevel="0" collapsed="false">
      <c r="B13" s="4" t="s">
        <v>14</v>
      </c>
      <c r="C13" s="5" t="s">
        <v>15</v>
      </c>
    </row>
    <row r="14" customFormat="false" ht="30" hidden="false" customHeight="true" outlineLevel="0" collapsed="false">
      <c r="B14" s="4" t="s">
        <v>16</v>
      </c>
      <c r="C14" s="5" t="s">
        <v>17</v>
      </c>
    </row>
    <row r="15" customFormat="false" ht="30" hidden="false" customHeight="true" outlineLevel="0" collapsed="false">
      <c r="B15" s="4" t="s">
        <v>18</v>
      </c>
      <c r="C15" s="5" t="s">
        <v>19</v>
      </c>
    </row>
    <row r="16" customFormat="false" ht="30" hidden="false" customHeight="true" outlineLevel="0" collapsed="false">
      <c r="B16" s="4" t="s">
        <v>20</v>
      </c>
      <c r="C16" s="5" t="s">
        <v>21</v>
      </c>
    </row>
    <row r="17" customFormat="false" ht="30" hidden="false" customHeight="true" outlineLevel="0" collapsed="false">
      <c r="B17" s="4" t="s">
        <v>22</v>
      </c>
      <c r="C17" s="5" t="s">
        <v>23</v>
      </c>
    </row>
    <row r="18" customFormat="false" ht="30" hidden="false" customHeight="true" outlineLevel="0" collapsed="false">
      <c r="B18" s="4" t="s">
        <v>24</v>
      </c>
      <c r="C18" s="5" t="s">
        <v>25</v>
      </c>
    </row>
    <row r="19" customFormat="false" ht="30" hidden="false" customHeight="true" outlineLevel="0" collapsed="false">
      <c r="B19" s="4" t="s">
        <v>26</v>
      </c>
      <c r="C19" s="5" t="s">
        <v>27</v>
      </c>
    </row>
    <row r="21" customFormat="false" ht="15" hidden="false" customHeight="false" outlineLevel="0" collapsed="false">
      <c r="B21" s="3" t="s">
        <v>28</v>
      </c>
    </row>
    <row r="22" customFormat="false" ht="30" hidden="false" customHeight="true" outlineLevel="0" collapsed="false">
      <c r="B22" s="4" t="s">
        <v>29</v>
      </c>
      <c r="C22" s="5" t="s">
        <v>30</v>
      </c>
    </row>
    <row r="23" customFormat="false" ht="30" hidden="false" customHeight="true" outlineLevel="0" collapsed="false">
      <c r="B23" s="4" t="s">
        <v>31</v>
      </c>
      <c r="C23" s="5" t="s">
        <v>32</v>
      </c>
    </row>
    <row r="24" customFormat="false" ht="30" hidden="false" customHeight="true" outlineLevel="0" collapsed="false">
      <c r="B24" s="4" t="s">
        <v>33</v>
      </c>
      <c r="C24" s="5" t="s">
        <v>34</v>
      </c>
    </row>
    <row r="25" customFormat="false" ht="30" hidden="false" customHeight="true" outlineLevel="0" collapsed="false">
      <c r="B25" s="4" t="s">
        <v>35</v>
      </c>
      <c r="C25" s="5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F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0" min="2" style="0" width="16"/>
    <col collapsed="false" customWidth="true" hidden="false" outlineLevel="0" max="11" min="11" style="0" width="4"/>
    <col collapsed="false" customWidth="true" hidden="false" outlineLevel="0" max="13" min="12" style="0" width="16"/>
  </cols>
  <sheetData>
    <row r="1" customFormat="false" ht="19.7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30" hidden="false" customHeight="true" outlineLevel="0" collapsed="false">
      <c r="A4" s="6" t="s">
        <v>39</v>
      </c>
      <c r="B4" s="6" t="s">
        <v>40</v>
      </c>
      <c r="C4" s="6" t="s">
        <v>41</v>
      </c>
      <c r="D4" s="6" t="s">
        <v>42</v>
      </c>
      <c r="E4" s="6" t="s">
        <v>43</v>
      </c>
      <c r="F4" s="6" t="s">
        <v>44</v>
      </c>
    </row>
    <row r="5" customFormat="false" ht="30" hidden="false" customHeight="true" outlineLevel="0" collapsed="false">
      <c r="A5" s="7" t="n">
        <f aca="false">COUNTA('Product Master'!A2:A31)</f>
        <v>30</v>
      </c>
      <c r="B5" s="8" t="n">
        <f aca="false">SUM('Inventory Analysis'!Q5:Q34)</f>
        <v>37354.5</v>
      </c>
      <c r="C5" s="7" t="n">
        <f aca="false">COUNTIF('Inventory Analysis'!V5:V34,"Reorder Now")</f>
        <v>5</v>
      </c>
      <c r="D5" s="7" t="n">
        <f aca="false">COUNTIF('Inventory Analysis'!V5:V34,"Overstock")</f>
        <v>4</v>
      </c>
      <c r="E5" s="7" t="n">
        <f aca="false">COUNTIF('Expiry Tracker'!H2:H41,"Expiring Soon")</f>
        <v>3</v>
      </c>
      <c r="F5" s="7" t="n">
        <f aca="false">COUNTIF('Expiry Tracker'!H2:H41,"Expired")</f>
        <v>2</v>
      </c>
    </row>
    <row r="8" customFormat="false" ht="15" hidden="false" customHeight="false" outlineLevel="0" collapsed="false">
      <c r="A8" s="9" t="s">
        <v>45</v>
      </c>
      <c r="B8" s="9" t="s">
        <v>46</v>
      </c>
      <c r="D8" s="9" t="s">
        <v>47</v>
      </c>
      <c r="E8" s="9" t="s">
        <v>48</v>
      </c>
    </row>
    <row r="9" customFormat="false" ht="15" hidden="false" customHeight="false" outlineLevel="0" collapsed="false">
      <c r="A9" s="10" t="s">
        <v>49</v>
      </c>
      <c r="B9" s="11" t="n">
        <f aca="false">SUMIF('Inventory Analysis'!$C$5:$C$34,A9,'Inventory Analysis'!$Q$5:$Q$34)</f>
        <v>1259.003</v>
      </c>
      <c r="D9" s="10" t="s">
        <v>50</v>
      </c>
      <c r="E9" s="10" t="n">
        <f aca="false">COUNTIF('Inventory Analysis'!$U$5:$U$34,"A")</f>
        <v>7</v>
      </c>
    </row>
    <row r="10" customFormat="false" ht="15" hidden="false" customHeight="false" outlineLevel="0" collapsed="false">
      <c r="A10" s="10" t="s">
        <v>51</v>
      </c>
      <c r="B10" s="11" t="n">
        <f aca="false">SUMIF('Inventory Analysis'!$C$5:$C$34,A10,'Inventory Analysis'!$Q$5:$Q$34)</f>
        <v>6116.605</v>
      </c>
      <c r="D10" s="10" t="s">
        <v>52</v>
      </c>
      <c r="E10" s="10" t="n">
        <f aca="false">COUNTIF('Inventory Analysis'!$U$5:$U$34,"B")</f>
        <v>7</v>
      </c>
    </row>
    <row r="11" customFormat="false" ht="15" hidden="false" customHeight="false" outlineLevel="0" collapsed="false">
      <c r="A11" s="10" t="s">
        <v>53</v>
      </c>
      <c r="B11" s="11" t="n">
        <f aca="false">SUMIF('Inventory Analysis'!$C$5:$C$34,A11,'Inventory Analysis'!$Q$5:$Q$34)</f>
        <v>8125.41</v>
      </c>
      <c r="D11" s="10" t="s">
        <v>54</v>
      </c>
      <c r="E11" s="10" t="n">
        <f aca="false">COUNTIF('Inventory Analysis'!$U$5:$U$34,"C")</f>
        <v>16</v>
      </c>
    </row>
    <row r="12" customFormat="false" ht="15" hidden="false" customHeight="false" outlineLevel="0" collapsed="false">
      <c r="A12" s="10" t="s">
        <v>55</v>
      </c>
      <c r="B12" s="11" t="n">
        <f aca="false">SUMIF('Inventory Analysis'!$C$5:$C$34,A12,'Inventory Analysis'!$Q$5:$Q$34)</f>
        <v>239.483</v>
      </c>
    </row>
    <row r="13" customFormat="false" ht="15" hidden="false" customHeight="false" outlineLevel="0" collapsed="false">
      <c r="A13" s="10" t="s">
        <v>56</v>
      </c>
      <c r="B13" s="11" t="n">
        <f aca="false">SUMIF('Inventory Analysis'!$C$5:$C$34,A13,'Inventory Analysis'!$Q$5:$Q$34)</f>
        <v>8072.884</v>
      </c>
    </row>
    <row r="14" customFormat="false" ht="15" hidden="false" customHeight="false" outlineLevel="0" collapsed="false">
      <c r="A14" s="10" t="s">
        <v>57</v>
      </c>
      <c r="B14" s="11" t="n">
        <f aca="false">SUMIF('Inventory Analysis'!$C$5:$C$34,A14,'Inventory Analysis'!$Q$5:$Q$34)</f>
        <v>1041.619</v>
      </c>
      <c r="D14" s="9" t="s">
        <v>24</v>
      </c>
      <c r="E14" s="9" t="s">
        <v>48</v>
      </c>
    </row>
    <row r="15" customFormat="false" ht="15" hidden="false" customHeight="false" outlineLevel="0" collapsed="false">
      <c r="A15" s="10" t="s">
        <v>58</v>
      </c>
      <c r="B15" s="11" t="n">
        <f aca="false">SUMIF('Inventory Analysis'!$C$5:$C$34,A15,'Inventory Analysis'!$Q$5:$Q$34)</f>
        <v>924.768</v>
      </c>
      <c r="D15" s="10" t="s">
        <v>59</v>
      </c>
      <c r="E15" s="10" t="n">
        <f aca="false">COUNTIF('Inventory Analysis'!$V$5:$V$34,"OK")</f>
        <v>21</v>
      </c>
    </row>
    <row r="16" customFormat="false" ht="15" hidden="false" customHeight="false" outlineLevel="0" collapsed="false">
      <c r="A16" s="10" t="s">
        <v>60</v>
      </c>
      <c r="B16" s="11" t="n">
        <f aca="false">SUMIF('Inventory Analysis'!$C$5:$C$34,A16,'Inventory Analysis'!$Q$5:$Q$34)</f>
        <v>1897.368</v>
      </c>
      <c r="D16" s="10" t="s">
        <v>61</v>
      </c>
      <c r="E16" s="10" t="n">
        <f aca="false">COUNTIF('Inventory Analysis'!$V$5:$V$34,"Reorder Now")</f>
        <v>5</v>
      </c>
    </row>
    <row r="17" customFormat="false" ht="15" hidden="false" customHeight="false" outlineLevel="0" collapsed="false">
      <c r="A17" s="10" t="s">
        <v>62</v>
      </c>
      <c r="B17" s="11" t="n">
        <f aca="false">SUMIF('Inventory Analysis'!$C$5:$C$34,A17,'Inventory Analysis'!$Q$5:$Q$34)</f>
        <v>2247.581</v>
      </c>
      <c r="D17" s="10" t="s">
        <v>63</v>
      </c>
      <c r="E17" s="10" t="n">
        <f aca="false">COUNTIF('Inventory Analysis'!$V$5:$V$34,"Overstock")</f>
        <v>4</v>
      </c>
    </row>
    <row r="18" customFormat="false" ht="15" hidden="false" customHeight="false" outlineLevel="0" collapsed="false">
      <c r="A18" s="10" t="s">
        <v>64</v>
      </c>
      <c r="B18" s="11" t="n">
        <f aca="false">SUMIF('Inventory Analysis'!$C$5:$C$34,A18,'Inventory Analysis'!$Q$5:$Q$34)</f>
        <v>6249.69</v>
      </c>
    </row>
    <row r="19" customFormat="false" ht="15" hidden="false" customHeight="false" outlineLevel="0" collapsed="false">
      <c r="A19" s="10" t="s">
        <v>65</v>
      </c>
      <c r="B19" s="11" t="n">
        <f aca="false">SUMIF('Inventory Analysis'!$C$5:$C$34,A19,'Inventory Analysis'!$Q$5:$Q$34)</f>
        <v>1180.089</v>
      </c>
    </row>
    <row r="22" customFormat="false" ht="15" hidden="false" customHeight="false" outlineLevel="0" collapsed="false">
      <c r="A22" s="9" t="s">
        <v>66</v>
      </c>
      <c r="B22" s="9" t="s">
        <v>67</v>
      </c>
    </row>
    <row r="23" customFormat="false" ht="15" hidden="false" customHeight="false" outlineLevel="0" collapsed="false">
      <c r="A23" s="10" t="s">
        <v>68</v>
      </c>
      <c r="B23" s="12" t="n">
        <f aca="false">SUM('Monthly Demand'!C2:C31)</f>
        <v>11590</v>
      </c>
    </row>
    <row r="24" customFormat="false" ht="15" hidden="false" customHeight="false" outlineLevel="0" collapsed="false">
      <c r="A24" s="10" t="s">
        <v>69</v>
      </c>
      <c r="B24" s="12" t="n">
        <f aca="false">SUM('Monthly Demand'!D2:D31)</f>
        <v>11174</v>
      </c>
    </row>
    <row r="25" customFormat="false" ht="15" hidden="false" customHeight="false" outlineLevel="0" collapsed="false">
      <c r="A25" s="10" t="s">
        <v>70</v>
      </c>
      <c r="B25" s="12" t="n">
        <f aca="false">SUM('Monthly Demand'!E2:E31)</f>
        <v>10582</v>
      </c>
    </row>
    <row r="26" customFormat="false" ht="15" hidden="false" customHeight="false" outlineLevel="0" collapsed="false">
      <c r="A26" s="10" t="s">
        <v>71</v>
      </c>
      <c r="B26" s="12" t="n">
        <f aca="false">SUM('Monthly Demand'!F2:F31)</f>
        <v>10198</v>
      </c>
    </row>
    <row r="27" customFormat="false" ht="15" hidden="false" customHeight="false" outlineLevel="0" collapsed="false">
      <c r="A27" s="10" t="s">
        <v>72</v>
      </c>
      <c r="B27" s="12" t="n">
        <f aca="false">SUM('Monthly Demand'!G2:G31)</f>
        <v>10250</v>
      </c>
    </row>
    <row r="28" customFormat="false" ht="15" hidden="false" customHeight="false" outlineLevel="0" collapsed="false">
      <c r="A28" s="10" t="s">
        <v>73</v>
      </c>
      <c r="B28" s="12" t="n">
        <f aca="false">SUM('Monthly Demand'!H2:H31)</f>
        <v>9884</v>
      </c>
    </row>
    <row r="29" customFormat="false" ht="15" hidden="false" customHeight="false" outlineLevel="0" collapsed="false">
      <c r="A29" s="10" t="s">
        <v>74</v>
      </c>
      <c r="B29" s="12" t="n">
        <f aca="false">SUM('Monthly Demand'!I2:I31)</f>
        <v>10000</v>
      </c>
    </row>
    <row r="30" customFormat="false" ht="15" hidden="false" customHeight="false" outlineLevel="0" collapsed="false">
      <c r="A30" s="10" t="s">
        <v>75</v>
      </c>
      <c r="B30" s="12" t="n">
        <f aca="false">SUM('Monthly Demand'!J2:J31)</f>
        <v>10356</v>
      </c>
    </row>
    <row r="31" customFormat="false" ht="15" hidden="false" customHeight="false" outlineLevel="0" collapsed="false">
      <c r="A31" s="10" t="s">
        <v>76</v>
      </c>
      <c r="B31" s="12" t="n">
        <f aca="false">SUM('Monthly Demand'!K2:K31)</f>
        <v>10674</v>
      </c>
    </row>
    <row r="32" customFormat="false" ht="15" hidden="false" customHeight="false" outlineLevel="0" collapsed="false">
      <c r="A32" s="10" t="s">
        <v>77</v>
      </c>
      <c r="B32" s="12" t="n">
        <f aca="false">SUM('Monthly Demand'!L2:L31)</f>
        <v>10830</v>
      </c>
    </row>
    <row r="33" customFormat="false" ht="15" hidden="false" customHeight="false" outlineLevel="0" collapsed="false">
      <c r="A33" s="10" t="s">
        <v>78</v>
      </c>
      <c r="B33" s="12" t="n">
        <f aca="false">SUM('Monthly Demand'!M2:M31)</f>
        <v>11525</v>
      </c>
    </row>
    <row r="34" customFormat="false" ht="15" hidden="false" customHeight="false" outlineLevel="0" collapsed="false">
      <c r="A34" s="10" t="s">
        <v>79</v>
      </c>
      <c r="B34" s="12" t="n">
        <f aca="false">SUM('Monthly Demand'!N2:N31)</f>
        <v>11827</v>
      </c>
    </row>
    <row r="37" customFormat="false" ht="15" hidden="false" customHeight="false" outlineLevel="0" collapsed="false">
      <c r="A37" s="13" t="s">
        <v>80</v>
      </c>
    </row>
    <row r="40" customFormat="false" ht="15" hidden="false" customHeight="false" outlineLevel="0" collapsed="false">
      <c r="A40" s="14" t="s">
        <v>81</v>
      </c>
    </row>
    <row r="41" customFormat="false" ht="15" hidden="false" customHeight="false" outlineLevel="0" collapsed="false">
      <c r="A41" s="15" t="s">
        <v>82</v>
      </c>
      <c r="B41" s="15" t="s">
        <v>46</v>
      </c>
    </row>
    <row r="42" customFormat="false" ht="15" hidden="false" customHeight="false" outlineLevel="0" collapsed="false">
      <c r="A42" s="16" t="str">
        <f aca="false">INDEX('Inventory Analysis'!$B$5:$B$34,MATCH(1,'Inventory Analysis'!$R$5:$R$34,0))</f>
        <v>Acyclovir 400mg Tablets</v>
      </c>
      <c r="B42" s="17" t="n">
        <f aca="false">INDEX('Inventory Analysis'!$Q$5:$Q$34,MATCH(1,'Inventory Analysis'!$R$5:$R$34,0))</f>
        <v>7377.244</v>
      </c>
    </row>
    <row r="43" customFormat="false" ht="15" hidden="false" customHeight="false" outlineLevel="0" collapsed="false">
      <c r="A43" s="16" t="str">
        <f aca="false">INDEX('Inventory Analysis'!$B$5:$B$34,MATCH(2,'Inventory Analysis'!$R$5:$R$34,0))</f>
        <v>Insulin Glargine Injection</v>
      </c>
      <c r="B43" s="17" t="n">
        <f aca="false">INDEX('Inventory Analysis'!$Q$5:$Q$34,MATCH(2,'Inventory Analysis'!$R$5:$R$34,0))</f>
        <v>6569.64</v>
      </c>
    </row>
    <row r="44" customFormat="false" ht="15" hidden="false" customHeight="false" outlineLevel="0" collapsed="false">
      <c r="A44" s="16" t="str">
        <f aca="false">INDEX('Inventory Analysis'!$B$5:$B$34,MATCH(3,'Inventory Analysis'!$R$5:$R$34,0))</f>
        <v>Tetanus Toxoid Vaccine (Dose)</v>
      </c>
      <c r="B44" s="17" t="n">
        <f aca="false">INDEX('Inventory Analysis'!$Q$5:$Q$34,MATCH(3,'Inventory Analysis'!$R$5:$R$34,0))</f>
        <v>3874.44</v>
      </c>
    </row>
    <row r="45" customFormat="false" ht="15" hidden="false" customHeight="false" outlineLevel="0" collapsed="false">
      <c r="A45" s="16" t="str">
        <f aca="false">INDEX('Inventory Analysis'!$B$5:$B$34,MATCH(4,'Inventory Analysis'!$R$5:$R$34,0))</f>
        <v>Influenza Vaccine (Dose)</v>
      </c>
      <c r="B45" s="17" t="n">
        <f aca="false">INDEX('Inventory Analysis'!$Q$5:$Q$34,MATCH(4,'Inventory Analysis'!$R$5:$R$34,0))</f>
        <v>2304.45</v>
      </c>
    </row>
    <row r="46" customFormat="false" ht="15" hidden="false" customHeight="false" outlineLevel="0" collapsed="false">
      <c r="A46" s="16" t="str">
        <f aca="false">INDEX('Inventory Analysis'!$B$5:$B$34,MATCH(5,'Inventory Analysis'!$R$5:$R$34,0))</f>
        <v>Montelukast 10mg Tablets</v>
      </c>
      <c r="B46" s="17" t="n">
        <f aca="false">INDEX('Inventory Analysis'!$Q$5:$Q$34,MATCH(5,'Inventory Analysis'!$R$5:$R$34,0))</f>
        <v>2211.545</v>
      </c>
    </row>
    <row r="47" customFormat="false" ht="15" hidden="false" customHeight="false" outlineLevel="0" collapsed="false">
      <c r="A47" s="16" t="str">
        <f aca="false">INDEX('Inventory Analysis'!$B$5:$B$34,MATCH(6,'Inventory Analysis'!$R$5:$R$34,0))</f>
        <v>Doxycycline 100mg Capsules</v>
      </c>
      <c r="B47" s="17" t="n">
        <f aca="false">INDEX('Inventory Analysis'!$Q$5:$Q$34,MATCH(6,'Inventory Analysis'!$R$5:$R$34,0))</f>
        <v>2069.464</v>
      </c>
    </row>
    <row r="48" customFormat="false" ht="15" hidden="false" customHeight="false" outlineLevel="0" collapsed="false">
      <c r="A48" s="16" t="str">
        <f aca="false">INDEX('Inventory Analysis'!$B$5:$B$34,MATCH(7,'Inventory Analysis'!$R$5:$R$34,0))</f>
        <v>Azithromycin 250mg Tablets</v>
      </c>
      <c r="B48" s="17" t="n">
        <f aca="false">INDEX('Inventory Analysis'!$Q$5:$Q$34,MATCH(7,'Inventory Analysis'!$R$5:$R$34,0))</f>
        <v>1737.285</v>
      </c>
    </row>
    <row r="49" customFormat="false" ht="15" hidden="false" customHeight="false" outlineLevel="0" collapsed="false">
      <c r="A49" s="16" t="str">
        <f aca="false">INDEX('Inventory Analysis'!$B$5:$B$34,MATCH(8,'Inventory Analysis'!$R$5:$R$34,0))</f>
        <v>Ciprofloxacin 500mg Tablets</v>
      </c>
      <c r="B49" s="17" t="n">
        <f aca="false">INDEX('Inventory Analysis'!$Q$5:$Q$34,MATCH(8,'Inventory Analysis'!$R$5:$R$34,0))</f>
        <v>1552.284</v>
      </c>
    </row>
    <row r="50" customFormat="false" ht="15" hidden="false" customHeight="false" outlineLevel="0" collapsed="false">
      <c r="A50" s="16" t="str">
        <f aca="false">INDEX('Inventory Analysis'!$B$5:$B$34,MATCH(9,'Inventory Analysis'!$R$5:$R$34,0))</f>
        <v>Metformin 500mg Tablets</v>
      </c>
      <c r="B50" s="17" t="n">
        <f aca="false">INDEX('Inventory Analysis'!$Q$5:$Q$34,MATCH(9,'Inventory Analysis'!$R$5:$R$34,0))</f>
        <v>1313.73</v>
      </c>
    </row>
    <row r="51" customFormat="false" ht="15" hidden="false" customHeight="false" outlineLevel="0" collapsed="false">
      <c r="A51" s="16" t="str">
        <f aca="false">INDEX('Inventory Analysis'!$B$5:$B$34,MATCH(10,'Inventory Analysis'!$R$5:$R$34,0))</f>
        <v>Hydrocortisone Cream 1%</v>
      </c>
      <c r="B51" s="17" t="n">
        <f aca="false">INDEX('Inventory Analysis'!$Q$5:$Q$34,MATCH(10,'Inventory Analysis'!$R$5:$R$34,0))</f>
        <v>924.768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pageSetUpPr fitToPage="false"/>
  </sheetPr>
  <dimension ref="A1:L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7"/>
    <col collapsed="false" customWidth="true" hidden="false" outlineLevel="0" max="11" min="11" style="0" width="16"/>
    <col collapsed="false" customWidth="true" hidden="false" outlineLevel="0" max="12" min="12" style="0" width="15"/>
  </cols>
  <sheetData>
    <row r="1" customFormat="false" ht="31.5" hidden="false" customHeight="true" outlineLevel="0" collapsed="false">
      <c r="A1" s="18" t="s">
        <v>83</v>
      </c>
      <c r="B1" s="18" t="s">
        <v>82</v>
      </c>
      <c r="C1" s="18" t="s">
        <v>45</v>
      </c>
      <c r="D1" s="18" t="s">
        <v>84</v>
      </c>
      <c r="E1" s="18" t="s">
        <v>85</v>
      </c>
      <c r="F1" s="18" t="s">
        <v>86</v>
      </c>
      <c r="G1" s="18" t="s">
        <v>87</v>
      </c>
      <c r="H1" s="18" t="s">
        <v>88</v>
      </c>
      <c r="I1" s="18" t="s">
        <v>89</v>
      </c>
      <c r="J1" s="18" t="s">
        <v>90</v>
      </c>
      <c r="K1" s="18" t="s">
        <v>91</v>
      </c>
      <c r="L1" s="18" t="s">
        <v>92</v>
      </c>
    </row>
    <row r="2" customFormat="false" ht="15" hidden="false" customHeight="false" outlineLevel="0" collapsed="false">
      <c r="A2" s="19" t="s">
        <v>93</v>
      </c>
      <c r="B2" s="19" t="s">
        <v>94</v>
      </c>
      <c r="C2" s="19" t="s">
        <v>49</v>
      </c>
      <c r="D2" s="19" t="s">
        <v>95</v>
      </c>
      <c r="E2" s="19" t="s">
        <v>96</v>
      </c>
      <c r="F2" s="20" t="n">
        <v>0.071</v>
      </c>
      <c r="G2" s="20" t="n">
        <v>0.097</v>
      </c>
      <c r="H2" s="21" t="n">
        <v>6003</v>
      </c>
      <c r="I2" s="22" t="n">
        <v>10</v>
      </c>
      <c r="J2" s="23" t="n">
        <v>121.01</v>
      </c>
      <c r="K2" s="24" t="n">
        <v>0.197</v>
      </c>
      <c r="L2" s="21" t="n">
        <v>1000</v>
      </c>
    </row>
    <row r="3" customFormat="false" ht="15" hidden="false" customHeight="false" outlineLevel="0" collapsed="false">
      <c r="A3" s="19" t="s">
        <v>97</v>
      </c>
      <c r="B3" s="19" t="s">
        <v>98</v>
      </c>
      <c r="C3" s="19" t="s">
        <v>49</v>
      </c>
      <c r="D3" s="19" t="s">
        <v>99</v>
      </c>
      <c r="E3" s="19" t="s">
        <v>96</v>
      </c>
      <c r="F3" s="20" t="n">
        <v>0.021</v>
      </c>
      <c r="G3" s="20" t="n">
        <v>0.037</v>
      </c>
      <c r="H3" s="21" t="n">
        <v>12133</v>
      </c>
      <c r="I3" s="22" t="n">
        <v>14</v>
      </c>
      <c r="J3" s="23" t="n">
        <v>57.1</v>
      </c>
      <c r="K3" s="24" t="n">
        <v>0.217</v>
      </c>
      <c r="L3" s="21" t="n">
        <v>250</v>
      </c>
    </row>
    <row r="4" customFormat="false" ht="15" hidden="false" customHeight="false" outlineLevel="0" collapsed="false">
      <c r="A4" s="19" t="s">
        <v>100</v>
      </c>
      <c r="B4" s="19" t="s">
        <v>101</v>
      </c>
      <c r="C4" s="19" t="s">
        <v>49</v>
      </c>
      <c r="D4" s="19" t="s">
        <v>102</v>
      </c>
      <c r="E4" s="19" t="s">
        <v>96</v>
      </c>
      <c r="F4" s="20" t="n">
        <v>0.091</v>
      </c>
      <c r="G4" s="20" t="n">
        <v>0.139</v>
      </c>
      <c r="H4" s="21" t="n">
        <v>98</v>
      </c>
      <c r="I4" s="22" t="n">
        <v>7</v>
      </c>
      <c r="J4" s="23" t="n">
        <v>112.74</v>
      </c>
      <c r="K4" s="24" t="n">
        <v>0.204</v>
      </c>
      <c r="L4" s="21" t="n">
        <v>100</v>
      </c>
    </row>
    <row r="5" customFormat="false" ht="15" hidden="false" customHeight="false" outlineLevel="0" collapsed="false">
      <c r="A5" s="19" t="s">
        <v>103</v>
      </c>
      <c r="B5" s="19" t="s">
        <v>104</v>
      </c>
      <c r="C5" s="19" t="s">
        <v>49</v>
      </c>
      <c r="D5" s="19" t="s">
        <v>105</v>
      </c>
      <c r="E5" s="19" t="s">
        <v>96</v>
      </c>
      <c r="F5" s="20" t="n">
        <v>0.063</v>
      </c>
      <c r="G5" s="20" t="n">
        <v>0.093</v>
      </c>
      <c r="H5" s="21" t="n">
        <v>9033</v>
      </c>
      <c r="I5" s="22" t="n">
        <v>30</v>
      </c>
      <c r="J5" s="23" t="n">
        <v>115.7</v>
      </c>
      <c r="K5" s="24" t="n">
        <v>0.165</v>
      </c>
      <c r="L5" s="21" t="n">
        <v>250</v>
      </c>
    </row>
    <row r="6" customFormat="false" ht="15" hidden="false" customHeight="false" outlineLevel="0" collapsed="false">
      <c r="A6" s="19" t="s">
        <v>106</v>
      </c>
      <c r="B6" s="19" t="s">
        <v>107</v>
      </c>
      <c r="C6" s="19" t="s">
        <v>51</v>
      </c>
      <c r="D6" s="19" t="s">
        <v>108</v>
      </c>
      <c r="E6" s="19" t="s">
        <v>96</v>
      </c>
      <c r="F6" s="20" t="n">
        <v>0.324</v>
      </c>
      <c r="G6" s="20" t="n">
        <v>0.512</v>
      </c>
      <c r="H6" s="21" t="n">
        <v>2273</v>
      </c>
      <c r="I6" s="22" t="n">
        <v>30</v>
      </c>
      <c r="J6" s="23" t="n">
        <v>101.75</v>
      </c>
      <c r="K6" s="24" t="n">
        <v>0.168</v>
      </c>
      <c r="L6" s="21" t="n">
        <v>1000</v>
      </c>
    </row>
    <row r="7" customFormat="false" ht="15" hidden="false" customHeight="false" outlineLevel="0" collapsed="false">
      <c r="A7" s="19" t="s">
        <v>109</v>
      </c>
      <c r="B7" s="19" t="s">
        <v>110</v>
      </c>
      <c r="C7" s="19" t="s">
        <v>51</v>
      </c>
      <c r="D7" s="19" t="s">
        <v>111</v>
      </c>
      <c r="E7" s="19" t="s">
        <v>96</v>
      </c>
      <c r="F7" s="20" t="n">
        <v>0.165</v>
      </c>
      <c r="G7" s="20" t="n">
        <v>0.272</v>
      </c>
      <c r="H7" s="21" t="n">
        <v>10529</v>
      </c>
      <c r="I7" s="22" t="n">
        <v>21</v>
      </c>
      <c r="J7" s="23" t="n">
        <v>134.69</v>
      </c>
      <c r="K7" s="24" t="n">
        <v>0.151</v>
      </c>
      <c r="L7" s="21" t="n">
        <v>100</v>
      </c>
    </row>
    <row r="8" customFormat="false" ht="15" hidden="false" customHeight="false" outlineLevel="0" collapsed="false">
      <c r="A8" s="19" t="s">
        <v>112</v>
      </c>
      <c r="B8" s="19" t="s">
        <v>113</v>
      </c>
      <c r="C8" s="19" t="s">
        <v>51</v>
      </c>
      <c r="D8" s="19" t="s">
        <v>95</v>
      </c>
      <c r="E8" s="19" t="s">
        <v>96</v>
      </c>
      <c r="F8" s="20" t="n">
        <v>0.324</v>
      </c>
      <c r="G8" s="20" t="n">
        <v>0.578</v>
      </c>
      <c r="H8" s="21" t="n">
        <v>4791</v>
      </c>
      <c r="I8" s="22" t="n">
        <v>21</v>
      </c>
      <c r="J8" s="23" t="n">
        <v>106.99</v>
      </c>
      <c r="K8" s="24" t="n">
        <v>0.161</v>
      </c>
      <c r="L8" s="21" t="n">
        <v>200</v>
      </c>
    </row>
    <row r="9" customFormat="false" ht="15" hidden="false" customHeight="false" outlineLevel="0" collapsed="false">
      <c r="A9" s="19" t="s">
        <v>114</v>
      </c>
      <c r="B9" s="19" t="s">
        <v>115</v>
      </c>
      <c r="C9" s="19" t="s">
        <v>51</v>
      </c>
      <c r="D9" s="19" t="s">
        <v>99</v>
      </c>
      <c r="E9" s="19" t="s">
        <v>96</v>
      </c>
      <c r="F9" s="20" t="n">
        <v>0.334</v>
      </c>
      <c r="G9" s="20" t="n">
        <v>0.465</v>
      </c>
      <c r="H9" s="21" t="n">
        <v>6196</v>
      </c>
      <c r="I9" s="22" t="n">
        <v>21</v>
      </c>
      <c r="J9" s="23" t="n">
        <v>124.24</v>
      </c>
      <c r="K9" s="24" t="n">
        <v>0.159</v>
      </c>
      <c r="L9" s="21" t="n">
        <v>500</v>
      </c>
    </row>
    <row r="10" customFormat="false" ht="15" hidden="false" customHeight="false" outlineLevel="0" collapsed="false">
      <c r="A10" s="19" t="s">
        <v>116</v>
      </c>
      <c r="B10" s="19" t="s">
        <v>117</v>
      </c>
      <c r="C10" s="19" t="s">
        <v>51</v>
      </c>
      <c r="D10" s="19" t="s">
        <v>102</v>
      </c>
      <c r="E10" s="19" t="s">
        <v>96</v>
      </c>
      <c r="F10" s="20" t="n">
        <v>0.32</v>
      </c>
      <c r="G10" s="20" t="n">
        <v>0.504</v>
      </c>
      <c r="H10" s="21" t="n">
        <v>66</v>
      </c>
      <c r="I10" s="22" t="n">
        <v>14</v>
      </c>
      <c r="J10" s="23" t="n">
        <v>42.31</v>
      </c>
      <c r="K10" s="24" t="n">
        <v>0.189</v>
      </c>
      <c r="L10" s="21" t="n">
        <v>1000</v>
      </c>
    </row>
    <row r="11" customFormat="false" ht="15" hidden="false" customHeight="false" outlineLevel="0" collapsed="false">
      <c r="A11" s="19" t="s">
        <v>118</v>
      </c>
      <c r="B11" s="19" t="s">
        <v>119</v>
      </c>
      <c r="C11" s="19" t="s">
        <v>53</v>
      </c>
      <c r="D11" s="19" t="s">
        <v>105</v>
      </c>
      <c r="E11" s="19" t="s">
        <v>96</v>
      </c>
      <c r="F11" s="20" t="n">
        <v>0.099</v>
      </c>
      <c r="G11" s="20" t="n">
        <v>0.157</v>
      </c>
      <c r="H11" s="21" t="n">
        <v>13270</v>
      </c>
      <c r="I11" s="22" t="n">
        <v>10</v>
      </c>
      <c r="J11" s="23" t="n">
        <v>50.38</v>
      </c>
      <c r="K11" s="24" t="n">
        <v>0.196</v>
      </c>
      <c r="L11" s="21" t="n">
        <v>250</v>
      </c>
    </row>
    <row r="12" customFormat="false" ht="15" hidden="false" customHeight="false" outlineLevel="0" collapsed="false">
      <c r="A12" s="19" t="s">
        <v>120</v>
      </c>
      <c r="B12" s="19" t="s">
        <v>121</v>
      </c>
      <c r="C12" s="19" t="s">
        <v>53</v>
      </c>
      <c r="D12" s="19" t="s">
        <v>108</v>
      </c>
      <c r="E12" s="19" t="s">
        <v>122</v>
      </c>
      <c r="F12" s="20" t="n">
        <v>17.38</v>
      </c>
      <c r="G12" s="20" t="n">
        <v>25.884</v>
      </c>
      <c r="H12" s="21" t="n">
        <v>378</v>
      </c>
      <c r="I12" s="22" t="n">
        <v>30</v>
      </c>
      <c r="J12" s="23" t="n">
        <v>268.63</v>
      </c>
      <c r="K12" s="24" t="n">
        <v>0.309</v>
      </c>
      <c r="L12" s="21" t="n">
        <v>1000</v>
      </c>
    </row>
    <row r="13" customFormat="false" ht="15" hidden="false" customHeight="false" outlineLevel="0" collapsed="false">
      <c r="A13" s="19" t="s">
        <v>123</v>
      </c>
      <c r="B13" s="19" t="s">
        <v>124</v>
      </c>
      <c r="C13" s="19" t="s">
        <v>53</v>
      </c>
      <c r="D13" s="19" t="s">
        <v>111</v>
      </c>
      <c r="E13" s="19" t="s">
        <v>96</v>
      </c>
      <c r="F13" s="20" t="n">
        <v>0.03</v>
      </c>
      <c r="G13" s="20" t="n">
        <v>0.046</v>
      </c>
      <c r="H13" s="21" t="n">
        <v>8068</v>
      </c>
      <c r="I13" s="22" t="n">
        <v>30</v>
      </c>
      <c r="J13" s="23" t="n">
        <v>145.3</v>
      </c>
      <c r="K13" s="24" t="n">
        <v>0.22</v>
      </c>
      <c r="L13" s="21" t="n">
        <v>1000</v>
      </c>
    </row>
    <row r="14" customFormat="false" ht="15" hidden="false" customHeight="false" outlineLevel="0" collapsed="false">
      <c r="A14" s="19" t="s">
        <v>125</v>
      </c>
      <c r="B14" s="19" t="s">
        <v>126</v>
      </c>
      <c r="C14" s="19" t="s">
        <v>55</v>
      </c>
      <c r="D14" s="19" t="s">
        <v>95</v>
      </c>
      <c r="E14" s="19" t="s">
        <v>96</v>
      </c>
      <c r="F14" s="20" t="n">
        <v>0.057</v>
      </c>
      <c r="G14" s="20" t="n">
        <v>0.091</v>
      </c>
      <c r="H14" s="21" t="n">
        <v>4051</v>
      </c>
      <c r="I14" s="22" t="n">
        <v>7</v>
      </c>
      <c r="J14" s="23" t="n">
        <v>114.27</v>
      </c>
      <c r="K14" s="24" t="n">
        <v>0.166</v>
      </c>
      <c r="L14" s="21" t="n">
        <v>100</v>
      </c>
    </row>
    <row r="15" customFormat="false" ht="15" hidden="false" customHeight="false" outlineLevel="0" collapsed="false">
      <c r="A15" s="19" t="s">
        <v>127</v>
      </c>
      <c r="B15" s="19" t="s">
        <v>128</v>
      </c>
      <c r="C15" s="19" t="s">
        <v>55</v>
      </c>
      <c r="D15" s="19" t="s">
        <v>99</v>
      </c>
      <c r="E15" s="19" t="s">
        <v>96</v>
      </c>
      <c r="F15" s="20" t="n">
        <v>0.067</v>
      </c>
      <c r="G15" s="20" t="n">
        <v>0.112</v>
      </c>
      <c r="H15" s="21" t="n">
        <v>128</v>
      </c>
      <c r="I15" s="22" t="n">
        <v>7</v>
      </c>
      <c r="J15" s="23" t="n">
        <v>41.02</v>
      </c>
      <c r="K15" s="24" t="n">
        <v>0.193</v>
      </c>
      <c r="L15" s="21" t="n">
        <v>1000</v>
      </c>
    </row>
    <row r="16" customFormat="false" ht="15" hidden="false" customHeight="false" outlineLevel="0" collapsed="false">
      <c r="A16" s="19" t="s">
        <v>129</v>
      </c>
      <c r="B16" s="19" t="s">
        <v>130</v>
      </c>
      <c r="C16" s="19" t="s">
        <v>57</v>
      </c>
      <c r="D16" s="19" t="s">
        <v>102</v>
      </c>
      <c r="E16" s="19" t="s">
        <v>96</v>
      </c>
      <c r="F16" s="20" t="n">
        <v>0.149</v>
      </c>
      <c r="G16" s="20" t="n">
        <v>0.25</v>
      </c>
      <c r="H16" s="21" t="n">
        <v>5316</v>
      </c>
      <c r="I16" s="22" t="n">
        <v>21</v>
      </c>
      <c r="J16" s="23" t="n">
        <v>72.93</v>
      </c>
      <c r="K16" s="24" t="n">
        <v>0.196</v>
      </c>
      <c r="L16" s="21" t="n">
        <v>200</v>
      </c>
    </row>
    <row r="17" customFormat="false" ht="15" hidden="false" customHeight="false" outlineLevel="0" collapsed="false">
      <c r="A17" s="19" t="s">
        <v>131</v>
      </c>
      <c r="B17" s="19" t="s">
        <v>132</v>
      </c>
      <c r="C17" s="19" t="s">
        <v>57</v>
      </c>
      <c r="D17" s="19" t="s">
        <v>105</v>
      </c>
      <c r="E17" s="19" t="s">
        <v>96</v>
      </c>
      <c r="F17" s="20" t="n">
        <v>0.055</v>
      </c>
      <c r="G17" s="20" t="n">
        <v>0.092</v>
      </c>
      <c r="H17" s="21" t="n">
        <v>4537</v>
      </c>
      <c r="I17" s="22" t="n">
        <v>14</v>
      </c>
      <c r="J17" s="23" t="n">
        <v>124.82</v>
      </c>
      <c r="K17" s="24" t="n">
        <v>0.195</v>
      </c>
      <c r="L17" s="21" t="n">
        <v>250</v>
      </c>
    </row>
    <row r="18" customFormat="false" ht="15" hidden="false" customHeight="false" outlineLevel="0" collapsed="false">
      <c r="A18" s="19" t="s">
        <v>133</v>
      </c>
      <c r="B18" s="19" t="s">
        <v>134</v>
      </c>
      <c r="C18" s="19" t="s">
        <v>56</v>
      </c>
      <c r="D18" s="19" t="s">
        <v>108</v>
      </c>
      <c r="E18" s="19" t="s">
        <v>96</v>
      </c>
      <c r="F18" s="20" t="n">
        <v>0.248</v>
      </c>
      <c r="G18" s="20" t="n">
        <v>0.38</v>
      </c>
      <c r="H18" s="21" t="n">
        <v>2805</v>
      </c>
      <c r="I18" s="22" t="n">
        <v>10</v>
      </c>
      <c r="J18" s="23" t="n">
        <v>115.03</v>
      </c>
      <c r="K18" s="24" t="n">
        <v>0.197</v>
      </c>
      <c r="L18" s="21" t="n">
        <v>250</v>
      </c>
    </row>
    <row r="19" customFormat="false" ht="15" hidden="false" customHeight="false" outlineLevel="0" collapsed="false">
      <c r="A19" s="19" t="s">
        <v>135</v>
      </c>
      <c r="B19" s="19" t="s">
        <v>136</v>
      </c>
      <c r="C19" s="19" t="s">
        <v>56</v>
      </c>
      <c r="D19" s="19" t="s">
        <v>111</v>
      </c>
      <c r="E19" s="19" t="s">
        <v>96</v>
      </c>
      <c r="F19" s="20" t="n">
        <v>0.931</v>
      </c>
      <c r="G19" s="20" t="n">
        <v>1.69</v>
      </c>
      <c r="H19" s="21" t="n">
        <v>7924</v>
      </c>
      <c r="I19" s="22" t="n">
        <v>10</v>
      </c>
      <c r="J19" s="23" t="n">
        <v>69.35</v>
      </c>
      <c r="K19" s="24" t="n">
        <v>0.205</v>
      </c>
      <c r="L19" s="21" t="n">
        <v>100</v>
      </c>
    </row>
    <row r="20" customFormat="false" ht="15" hidden="false" customHeight="false" outlineLevel="0" collapsed="false">
      <c r="A20" s="19" t="s">
        <v>137</v>
      </c>
      <c r="B20" s="19" t="s">
        <v>138</v>
      </c>
      <c r="C20" s="19" t="s">
        <v>64</v>
      </c>
      <c r="D20" s="19" t="s">
        <v>95</v>
      </c>
      <c r="E20" s="19" t="s">
        <v>122</v>
      </c>
      <c r="F20" s="20" t="n">
        <v>5.69</v>
      </c>
      <c r="G20" s="20" t="n">
        <v>9.882</v>
      </c>
      <c r="H20" s="21" t="n">
        <v>405</v>
      </c>
      <c r="I20" s="22" t="n">
        <v>45</v>
      </c>
      <c r="J20" s="23" t="n">
        <v>315.9</v>
      </c>
      <c r="K20" s="24" t="n">
        <v>0.307</v>
      </c>
      <c r="L20" s="21" t="n">
        <v>250</v>
      </c>
    </row>
    <row r="21" customFormat="false" ht="15" hidden="false" customHeight="false" outlineLevel="0" collapsed="false">
      <c r="A21" s="19" t="s">
        <v>139</v>
      </c>
      <c r="B21" s="19" t="s">
        <v>140</v>
      </c>
      <c r="C21" s="19" t="s">
        <v>64</v>
      </c>
      <c r="D21" s="19" t="s">
        <v>99</v>
      </c>
      <c r="E21" s="19" t="s">
        <v>122</v>
      </c>
      <c r="F21" s="20" t="n">
        <v>8.85</v>
      </c>
      <c r="G21" s="20" t="n">
        <v>14.499</v>
      </c>
      <c r="H21" s="21" t="n">
        <v>8</v>
      </c>
      <c r="I21" s="22" t="n">
        <v>45</v>
      </c>
      <c r="J21" s="23" t="n">
        <v>180.34</v>
      </c>
      <c r="K21" s="24" t="n">
        <v>0.314</v>
      </c>
      <c r="L21" s="21" t="n">
        <v>1000</v>
      </c>
    </row>
    <row r="22" customFormat="false" ht="15" hidden="false" customHeight="false" outlineLevel="0" collapsed="false">
      <c r="A22" s="19" t="s">
        <v>141</v>
      </c>
      <c r="B22" s="19" t="s">
        <v>142</v>
      </c>
      <c r="C22" s="19" t="s">
        <v>64</v>
      </c>
      <c r="D22" s="19" t="s">
        <v>102</v>
      </c>
      <c r="E22" s="19" t="s">
        <v>122</v>
      </c>
      <c r="F22" s="20" t="n">
        <v>11.67</v>
      </c>
      <c r="G22" s="20" t="n">
        <v>17.658</v>
      </c>
      <c r="H22" s="21" t="n">
        <v>332</v>
      </c>
      <c r="I22" s="22" t="n">
        <v>35</v>
      </c>
      <c r="J22" s="23" t="n">
        <v>264.09</v>
      </c>
      <c r="K22" s="24" t="n">
        <v>0.315</v>
      </c>
      <c r="L22" s="21" t="n">
        <v>200</v>
      </c>
    </row>
    <row r="23" customFormat="false" ht="15" hidden="false" customHeight="false" outlineLevel="0" collapsed="false">
      <c r="A23" s="19" t="s">
        <v>143</v>
      </c>
      <c r="B23" s="19" t="s">
        <v>144</v>
      </c>
      <c r="C23" s="19" t="s">
        <v>65</v>
      </c>
      <c r="D23" s="19" t="s">
        <v>105</v>
      </c>
      <c r="E23" s="19" t="s">
        <v>96</v>
      </c>
      <c r="F23" s="20" t="n">
        <v>0.056</v>
      </c>
      <c r="G23" s="20" t="n">
        <v>0.098</v>
      </c>
      <c r="H23" s="21" t="n">
        <v>7561</v>
      </c>
      <c r="I23" s="22" t="n">
        <v>14</v>
      </c>
      <c r="J23" s="23" t="n">
        <v>96.7</v>
      </c>
      <c r="K23" s="24" t="n">
        <v>0.194</v>
      </c>
      <c r="L23" s="21" t="n">
        <v>250</v>
      </c>
    </row>
    <row r="24" customFormat="false" ht="15" hidden="false" customHeight="false" outlineLevel="0" collapsed="false">
      <c r="A24" s="19" t="s">
        <v>145</v>
      </c>
      <c r="B24" s="19" t="s">
        <v>146</v>
      </c>
      <c r="C24" s="19" t="s">
        <v>65</v>
      </c>
      <c r="D24" s="19" t="s">
        <v>108</v>
      </c>
      <c r="E24" s="19" t="s">
        <v>96</v>
      </c>
      <c r="F24" s="20" t="n">
        <v>0.043</v>
      </c>
      <c r="G24" s="20" t="n">
        <v>0.073</v>
      </c>
      <c r="H24" s="21" t="n">
        <v>9169</v>
      </c>
      <c r="I24" s="22" t="n">
        <v>10</v>
      </c>
      <c r="J24" s="23" t="n">
        <v>56.23</v>
      </c>
      <c r="K24" s="24" t="n">
        <v>0.198</v>
      </c>
      <c r="L24" s="21" t="n">
        <v>100</v>
      </c>
    </row>
    <row r="25" customFormat="false" ht="15" hidden="false" customHeight="false" outlineLevel="0" collapsed="false">
      <c r="A25" s="19" t="s">
        <v>147</v>
      </c>
      <c r="B25" s="19" t="s">
        <v>148</v>
      </c>
      <c r="C25" s="19" t="s">
        <v>65</v>
      </c>
      <c r="D25" s="19" t="s">
        <v>111</v>
      </c>
      <c r="E25" s="19" t="s">
        <v>96</v>
      </c>
      <c r="F25" s="20" t="n">
        <v>0.033</v>
      </c>
      <c r="G25" s="20" t="n">
        <v>0.057</v>
      </c>
      <c r="H25" s="21" t="n">
        <v>10982</v>
      </c>
      <c r="I25" s="22" t="n">
        <v>30</v>
      </c>
      <c r="J25" s="23" t="n">
        <v>138.12</v>
      </c>
      <c r="K25" s="24" t="n">
        <v>0.18</v>
      </c>
      <c r="L25" s="21" t="n">
        <v>1000</v>
      </c>
    </row>
    <row r="26" customFormat="false" ht="15" hidden="false" customHeight="false" outlineLevel="0" collapsed="false">
      <c r="A26" s="19" t="s">
        <v>149</v>
      </c>
      <c r="B26" s="19" t="s">
        <v>150</v>
      </c>
      <c r="C26" s="19" t="s">
        <v>62</v>
      </c>
      <c r="D26" s="19" t="s">
        <v>95</v>
      </c>
      <c r="E26" s="19" t="s">
        <v>96</v>
      </c>
      <c r="F26" s="20" t="n">
        <v>1.287</v>
      </c>
      <c r="G26" s="20" t="n">
        <v>1.954</v>
      </c>
      <c r="H26" s="21" t="n">
        <v>28</v>
      </c>
      <c r="I26" s="22" t="n">
        <v>10</v>
      </c>
      <c r="J26" s="23" t="n">
        <v>65.44</v>
      </c>
      <c r="K26" s="24" t="n">
        <v>0.199</v>
      </c>
      <c r="L26" s="21" t="n">
        <v>200</v>
      </c>
    </row>
    <row r="27" customFormat="false" ht="15" hidden="false" customHeight="false" outlineLevel="0" collapsed="false">
      <c r="A27" s="19" t="s">
        <v>151</v>
      </c>
      <c r="B27" s="19" t="s">
        <v>152</v>
      </c>
      <c r="C27" s="19" t="s">
        <v>62</v>
      </c>
      <c r="D27" s="19" t="s">
        <v>99</v>
      </c>
      <c r="E27" s="19" t="s">
        <v>96</v>
      </c>
      <c r="F27" s="20" t="n">
        <v>0.179</v>
      </c>
      <c r="G27" s="20" t="n">
        <v>0.273</v>
      </c>
      <c r="H27" s="21" t="n">
        <v>12355</v>
      </c>
      <c r="I27" s="22" t="n">
        <v>15</v>
      </c>
      <c r="J27" s="23" t="n">
        <v>99.2</v>
      </c>
      <c r="K27" s="24" t="n">
        <v>0.201</v>
      </c>
      <c r="L27" s="21" t="n">
        <v>1000</v>
      </c>
    </row>
    <row r="28" customFormat="false" ht="15" hidden="false" customHeight="false" outlineLevel="0" collapsed="false">
      <c r="A28" s="19" t="s">
        <v>153</v>
      </c>
      <c r="B28" s="19" t="s">
        <v>154</v>
      </c>
      <c r="C28" s="19" t="s">
        <v>60</v>
      </c>
      <c r="D28" s="19" t="s">
        <v>102</v>
      </c>
      <c r="E28" s="19" t="s">
        <v>96</v>
      </c>
      <c r="F28" s="20" t="n">
        <v>0.112</v>
      </c>
      <c r="G28" s="20" t="n">
        <v>0.184</v>
      </c>
      <c r="H28" s="21" t="n">
        <v>7064</v>
      </c>
      <c r="I28" s="22" t="n">
        <v>30</v>
      </c>
      <c r="J28" s="23" t="n">
        <v>87.15</v>
      </c>
      <c r="K28" s="24" t="n">
        <v>0.211</v>
      </c>
      <c r="L28" s="21" t="n">
        <v>200</v>
      </c>
    </row>
    <row r="29" customFormat="false" ht="15" hidden="false" customHeight="false" outlineLevel="0" collapsed="false">
      <c r="A29" s="19" t="s">
        <v>155</v>
      </c>
      <c r="B29" s="19" t="s">
        <v>156</v>
      </c>
      <c r="C29" s="19" t="s">
        <v>60</v>
      </c>
      <c r="D29" s="19" t="s">
        <v>105</v>
      </c>
      <c r="E29" s="19" t="s">
        <v>96</v>
      </c>
      <c r="F29" s="20" t="n">
        <v>0.12</v>
      </c>
      <c r="G29" s="20" t="n">
        <v>0.183</v>
      </c>
      <c r="H29" s="21" t="n">
        <v>7459</v>
      </c>
      <c r="I29" s="22" t="n">
        <v>30</v>
      </c>
      <c r="J29" s="23" t="n">
        <v>44.43</v>
      </c>
      <c r="K29" s="24" t="n">
        <v>0.152</v>
      </c>
      <c r="L29" s="21" t="n">
        <v>200</v>
      </c>
    </row>
    <row r="30" customFormat="false" ht="15" hidden="false" customHeight="false" outlineLevel="0" collapsed="false">
      <c r="A30" s="19" t="s">
        <v>157</v>
      </c>
      <c r="B30" s="19" t="s">
        <v>158</v>
      </c>
      <c r="C30" s="19" t="s">
        <v>60</v>
      </c>
      <c r="D30" s="19" t="s">
        <v>108</v>
      </c>
      <c r="E30" s="19" t="s">
        <v>96</v>
      </c>
      <c r="F30" s="20" t="n">
        <v>0.04</v>
      </c>
      <c r="G30" s="20" t="n">
        <v>0.07</v>
      </c>
      <c r="H30" s="21" t="n">
        <v>5278</v>
      </c>
      <c r="I30" s="22" t="n">
        <v>7</v>
      </c>
      <c r="J30" s="23" t="n">
        <v>142.18</v>
      </c>
      <c r="K30" s="24" t="n">
        <v>0.19</v>
      </c>
      <c r="L30" s="21" t="n">
        <v>500</v>
      </c>
    </row>
    <row r="31" customFormat="false" ht="15" hidden="false" customHeight="false" outlineLevel="0" collapsed="false">
      <c r="A31" s="19" t="s">
        <v>159</v>
      </c>
      <c r="B31" s="19" t="s">
        <v>160</v>
      </c>
      <c r="C31" s="19" t="s">
        <v>58</v>
      </c>
      <c r="D31" s="19" t="s">
        <v>111</v>
      </c>
      <c r="E31" s="19" t="s">
        <v>96</v>
      </c>
      <c r="F31" s="20" t="n">
        <v>1.521</v>
      </c>
      <c r="G31" s="20" t="n">
        <v>2.379</v>
      </c>
      <c r="H31" s="21" t="n">
        <v>608</v>
      </c>
      <c r="I31" s="22" t="n">
        <v>30</v>
      </c>
      <c r="J31" s="23" t="n">
        <v>77.54</v>
      </c>
      <c r="K31" s="24" t="n">
        <v>0.209</v>
      </c>
      <c r="L31" s="21" t="n">
        <v>500</v>
      </c>
    </row>
    <row r="33" customFormat="false" ht="15" hidden="false" customHeight="false" outlineLevel="0" collapsed="false">
      <c r="A33" s="13" t="s">
        <v>161</v>
      </c>
    </row>
  </sheetData>
  <autoFilter ref="A1:L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pageSetUpPr fitToPage="false"/>
  </sheetPr>
  <dimension ref="A1:Q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14" min="3" style="0" width="6"/>
    <col collapsed="false" customWidth="true" hidden="false" outlineLevel="0" max="16" min="15" style="0" width="16"/>
    <col collapsed="false" customWidth="true" hidden="false" outlineLevel="0" max="17" min="17" style="0" width="18"/>
  </cols>
  <sheetData>
    <row r="1" customFormat="false" ht="31.5" hidden="false" customHeight="true" outlineLevel="0" collapsed="false">
      <c r="A1" s="18" t="s">
        <v>83</v>
      </c>
      <c r="B1" s="18" t="s">
        <v>82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72</v>
      </c>
      <c r="H1" s="18" t="s">
        <v>73</v>
      </c>
      <c r="I1" s="18" t="s">
        <v>74</v>
      </c>
      <c r="J1" s="18" t="s">
        <v>75</v>
      </c>
      <c r="K1" s="18" t="s">
        <v>76</v>
      </c>
      <c r="L1" s="18" t="s">
        <v>77</v>
      </c>
      <c r="M1" s="18" t="s">
        <v>78</v>
      </c>
      <c r="N1" s="18" t="s">
        <v>79</v>
      </c>
      <c r="O1" s="18" t="s">
        <v>162</v>
      </c>
      <c r="P1" s="18" t="s">
        <v>163</v>
      </c>
      <c r="Q1" s="18" t="s">
        <v>164</v>
      </c>
    </row>
    <row r="2" customFormat="false" ht="15" hidden="false" customHeight="false" outlineLevel="0" collapsed="false">
      <c r="A2" s="19" t="s">
        <v>93</v>
      </c>
      <c r="B2" s="19" t="s">
        <v>94</v>
      </c>
      <c r="C2" s="21" t="n">
        <v>394</v>
      </c>
      <c r="D2" s="21" t="n">
        <v>430</v>
      </c>
      <c r="E2" s="21" t="n">
        <v>388</v>
      </c>
      <c r="F2" s="21" t="n">
        <v>408</v>
      </c>
      <c r="G2" s="21" t="n">
        <v>438</v>
      </c>
      <c r="H2" s="21" t="n">
        <v>388</v>
      </c>
      <c r="I2" s="21" t="n">
        <v>406</v>
      </c>
      <c r="J2" s="21" t="n">
        <v>453</v>
      </c>
      <c r="K2" s="21" t="n">
        <v>442</v>
      </c>
      <c r="L2" s="21" t="n">
        <v>408</v>
      </c>
      <c r="M2" s="21" t="n">
        <v>447</v>
      </c>
      <c r="N2" s="21" t="n">
        <v>470</v>
      </c>
      <c r="O2" s="25" t="n">
        <f aca="false">SUM(C2:N2)</f>
        <v>5072</v>
      </c>
      <c r="P2" s="25" t="n">
        <f aca="false">AVERAGE(C2:N2)</f>
        <v>422.666666666667</v>
      </c>
      <c r="Q2" s="25" t="n">
        <f aca="false">STDEV(C2:N2)</f>
        <v>27.5494046572643</v>
      </c>
    </row>
    <row r="3" customFormat="false" ht="15" hidden="false" customHeight="false" outlineLevel="0" collapsed="false">
      <c r="A3" s="19" t="s">
        <v>97</v>
      </c>
      <c r="B3" s="19" t="s">
        <v>98</v>
      </c>
      <c r="C3" s="21" t="n">
        <v>657</v>
      </c>
      <c r="D3" s="21" t="n">
        <v>706</v>
      </c>
      <c r="E3" s="21" t="n">
        <v>702</v>
      </c>
      <c r="F3" s="21" t="n">
        <v>699</v>
      </c>
      <c r="G3" s="21" t="n">
        <v>686</v>
      </c>
      <c r="H3" s="21" t="n">
        <v>647</v>
      </c>
      <c r="I3" s="21" t="n">
        <v>720</v>
      </c>
      <c r="J3" s="21" t="n">
        <v>661</v>
      </c>
      <c r="K3" s="21" t="n">
        <v>800</v>
      </c>
      <c r="L3" s="21" t="n">
        <v>653</v>
      </c>
      <c r="M3" s="21" t="n">
        <v>691</v>
      </c>
      <c r="N3" s="21" t="n">
        <v>749</v>
      </c>
      <c r="O3" s="25" t="n">
        <f aca="false">SUM(C3:N3)</f>
        <v>8371</v>
      </c>
      <c r="P3" s="25" t="n">
        <f aca="false">AVERAGE(C3:N3)</f>
        <v>697.583333333333</v>
      </c>
      <c r="Q3" s="25" t="n">
        <f aca="false">STDEV(C3:N3)</f>
        <v>44.1453350430213</v>
      </c>
    </row>
    <row r="4" customFormat="false" ht="15" hidden="false" customHeight="false" outlineLevel="0" collapsed="false">
      <c r="A4" s="19" t="s">
        <v>100</v>
      </c>
      <c r="B4" s="19" t="s">
        <v>101</v>
      </c>
      <c r="C4" s="21" t="n">
        <v>414</v>
      </c>
      <c r="D4" s="21" t="n">
        <v>415</v>
      </c>
      <c r="E4" s="21" t="n">
        <v>370</v>
      </c>
      <c r="F4" s="21" t="n">
        <v>377</v>
      </c>
      <c r="G4" s="21" t="n">
        <v>412</v>
      </c>
      <c r="H4" s="21" t="n">
        <v>350</v>
      </c>
      <c r="I4" s="21" t="n">
        <v>368</v>
      </c>
      <c r="J4" s="21" t="n">
        <v>397</v>
      </c>
      <c r="K4" s="21" t="n">
        <v>400</v>
      </c>
      <c r="L4" s="21" t="n">
        <v>398</v>
      </c>
      <c r="M4" s="21" t="n">
        <v>342</v>
      </c>
      <c r="N4" s="21" t="n">
        <v>394</v>
      </c>
      <c r="O4" s="25" t="n">
        <f aca="false">SUM(C4:N4)</f>
        <v>4637</v>
      </c>
      <c r="P4" s="25" t="n">
        <f aca="false">AVERAGE(C4:N4)</f>
        <v>386.416666666667</v>
      </c>
      <c r="Q4" s="25" t="n">
        <f aca="false">STDEV(C4:N4)</f>
        <v>24.7109042302945</v>
      </c>
    </row>
    <row r="5" customFormat="false" ht="15" hidden="false" customHeight="false" outlineLevel="0" collapsed="false">
      <c r="A5" s="19" t="s">
        <v>103</v>
      </c>
      <c r="B5" s="19" t="s">
        <v>104</v>
      </c>
      <c r="C5" s="21" t="n">
        <v>612</v>
      </c>
      <c r="D5" s="21" t="n">
        <v>603</v>
      </c>
      <c r="E5" s="21" t="n">
        <v>529</v>
      </c>
      <c r="F5" s="21" t="n">
        <v>502</v>
      </c>
      <c r="G5" s="21" t="n">
        <v>540</v>
      </c>
      <c r="H5" s="21" t="n">
        <v>534</v>
      </c>
      <c r="I5" s="21" t="n">
        <v>526</v>
      </c>
      <c r="J5" s="21" t="n">
        <v>626</v>
      </c>
      <c r="K5" s="21" t="n">
        <v>617</v>
      </c>
      <c r="L5" s="21" t="n">
        <v>540</v>
      </c>
      <c r="M5" s="21" t="n">
        <v>587</v>
      </c>
      <c r="N5" s="21" t="n">
        <v>551</v>
      </c>
      <c r="O5" s="25" t="n">
        <f aca="false">SUM(C5:N5)</f>
        <v>6767</v>
      </c>
      <c r="P5" s="25" t="n">
        <f aca="false">AVERAGE(C5:N5)</f>
        <v>563.916666666667</v>
      </c>
      <c r="Q5" s="25" t="n">
        <f aca="false">STDEV(C5:N5)</f>
        <v>42.3630592365423</v>
      </c>
    </row>
    <row r="6" customFormat="false" ht="15" hidden="false" customHeight="false" outlineLevel="0" collapsed="false">
      <c r="A6" s="19" t="s">
        <v>106</v>
      </c>
      <c r="B6" s="19" t="s">
        <v>107</v>
      </c>
      <c r="C6" s="21" t="n">
        <v>243</v>
      </c>
      <c r="D6" s="21" t="n">
        <v>233</v>
      </c>
      <c r="E6" s="21" t="n">
        <v>193</v>
      </c>
      <c r="F6" s="21" t="n">
        <v>202</v>
      </c>
      <c r="G6" s="21" t="n">
        <v>148</v>
      </c>
      <c r="H6" s="21" t="n">
        <v>152</v>
      </c>
      <c r="I6" s="21" t="n">
        <v>162</v>
      </c>
      <c r="J6" s="21" t="n">
        <v>176</v>
      </c>
      <c r="K6" s="21" t="n">
        <v>166</v>
      </c>
      <c r="L6" s="21" t="n">
        <v>192</v>
      </c>
      <c r="M6" s="21" t="n">
        <v>248</v>
      </c>
      <c r="N6" s="21" t="n">
        <v>253</v>
      </c>
      <c r="O6" s="25" t="n">
        <f aca="false">SUM(C6:N6)</f>
        <v>2368</v>
      </c>
      <c r="P6" s="25" t="n">
        <f aca="false">AVERAGE(C6:N6)</f>
        <v>197.333333333333</v>
      </c>
      <c r="Q6" s="25" t="n">
        <f aca="false">STDEV(C6:N6)</f>
        <v>38.455011101128</v>
      </c>
    </row>
    <row r="7" customFormat="false" ht="15" hidden="false" customHeight="false" outlineLevel="0" collapsed="false">
      <c r="A7" s="19" t="s">
        <v>109</v>
      </c>
      <c r="B7" s="19" t="s">
        <v>110</v>
      </c>
      <c r="C7" s="21" t="n">
        <v>773</v>
      </c>
      <c r="D7" s="21" t="n">
        <v>689</v>
      </c>
      <c r="E7" s="21" t="n">
        <v>565</v>
      </c>
      <c r="F7" s="21" t="n">
        <v>559</v>
      </c>
      <c r="G7" s="21" t="n">
        <v>439</v>
      </c>
      <c r="H7" s="21" t="n">
        <v>448</v>
      </c>
      <c r="I7" s="21" t="n">
        <v>451</v>
      </c>
      <c r="J7" s="21" t="n">
        <v>537</v>
      </c>
      <c r="K7" s="21" t="n">
        <v>590</v>
      </c>
      <c r="L7" s="21" t="n">
        <v>591</v>
      </c>
      <c r="M7" s="21" t="n">
        <v>712</v>
      </c>
      <c r="N7" s="21" t="n">
        <v>683</v>
      </c>
      <c r="O7" s="25" t="n">
        <f aca="false">SUM(C7:N7)</f>
        <v>7037</v>
      </c>
      <c r="P7" s="25" t="n">
        <f aca="false">AVERAGE(C7:N7)</f>
        <v>586.416666666667</v>
      </c>
      <c r="Q7" s="25" t="n">
        <f aca="false">STDEV(C7:N7)</f>
        <v>110.103635753142</v>
      </c>
    </row>
    <row r="8" customFormat="false" ht="15" hidden="false" customHeight="false" outlineLevel="0" collapsed="false">
      <c r="A8" s="19" t="s">
        <v>112</v>
      </c>
      <c r="B8" s="19" t="s">
        <v>113</v>
      </c>
      <c r="C8" s="21" t="n">
        <v>265</v>
      </c>
      <c r="D8" s="21" t="n">
        <v>258</v>
      </c>
      <c r="E8" s="21" t="n">
        <v>213</v>
      </c>
      <c r="F8" s="21" t="n">
        <v>169</v>
      </c>
      <c r="G8" s="21" t="n">
        <v>164</v>
      </c>
      <c r="H8" s="21" t="n">
        <v>143</v>
      </c>
      <c r="I8" s="21" t="n">
        <v>178</v>
      </c>
      <c r="J8" s="21" t="n">
        <v>187</v>
      </c>
      <c r="K8" s="21" t="n">
        <v>207</v>
      </c>
      <c r="L8" s="21" t="n">
        <v>212</v>
      </c>
      <c r="M8" s="21" t="n">
        <v>226</v>
      </c>
      <c r="N8" s="21" t="n">
        <v>286</v>
      </c>
      <c r="O8" s="25" t="n">
        <f aca="false">SUM(C8:N8)</f>
        <v>2508</v>
      </c>
      <c r="P8" s="25" t="n">
        <f aca="false">AVERAGE(C8:N8)</f>
        <v>209</v>
      </c>
      <c r="Q8" s="25" t="n">
        <f aca="false">STDEV(C8:N8)</f>
        <v>43.911067149203</v>
      </c>
    </row>
    <row r="9" customFormat="false" ht="15" hidden="false" customHeight="false" outlineLevel="0" collapsed="false">
      <c r="A9" s="19" t="s">
        <v>114</v>
      </c>
      <c r="B9" s="19" t="s">
        <v>115</v>
      </c>
      <c r="C9" s="21" t="n">
        <v>383</v>
      </c>
      <c r="D9" s="21" t="n">
        <v>293</v>
      </c>
      <c r="E9" s="21" t="n">
        <v>281</v>
      </c>
      <c r="F9" s="21" t="n">
        <v>259</v>
      </c>
      <c r="G9" s="21" t="n">
        <v>251</v>
      </c>
      <c r="H9" s="21" t="n">
        <v>235</v>
      </c>
      <c r="I9" s="21" t="n">
        <v>226</v>
      </c>
      <c r="J9" s="21" t="n">
        <v>236</v>
      </c>
      <c r="K9" s="21" t="n">
        <v>265</v>
      </c>
      <c r="L9" s="21" t="n">
        <v>285</v>
      </c>
      <c r="M9" s="21" t="n">
        <v>346</v>
      </c>
      <c r="N9" s="21" t="n">
        <v>335</v>
      </c>
      <c r="O9" s="25" t="n">
        <f aca="false">SUM(C9:N9)</f>
        <v>3395</v>
      </c>
      <c r="P9" s="25" t="n">
        <f aca="false">AVERAGE(C9:N9)</f>
        <v>282.916666666667</v>
      </c>
      <c r="Q9" s="25" t="n">
        <f aca="false">STDEV(C9:N9)</f>
        <v>49.0518433224821</v>
      </c>
    </row>
    <row r="10" customFormat="false" ht="15" hidden="false" customHeight="false" outlineLevel="0" collapsed="false">
      <c r="A10" s="19" t="s">
        <v>116</v>
      </c>
      <c r="B10" s="19" t="s">
        <v>117</v>
      </c>
      <c r="C10" s="21" t="n">
        <v>224</v>
      </c>
      <c r="D10" s="21" t="n">
        <v>199</v>
      </c>
      <c r="E10" s="21" t="n">
        <v>200</v>
      </c>
      <c r="F10" s="21" t="n">
        <v>164</v>
      </c>
      <c r="G10" s="21" t="n">
        <v>172</v>
      </c>
      <c r="H10" s="21" t="n">
        <v>160</v>
      </c>
      <c r="I10" s="21" t="n">
        <v>132</v>
      </c>
      <c r="J10" s="21" t="n">
        <v>147</v>
      </c>
      <c r="K10" s="21" t="n">
        <v>182</v>
      </c>
      <c r="L10" s="21" t="n">
        <v>189</v>
      </c>
      <c r="M10" s="21" t="n">
        <v>210</v>
      </c>
      <c r="N10" s="21" t="n">
        <v>265</v>
      </c>
      <c r="O10" s="25" t="n">
        <f aca="false">SUM(C10:N10)</f>
        <v>2244</v>
      </c>
      <c r="P10" s="25" t="n">
        <f aca="false">AVERAGE(C10:N10)</f>
        <v>187</v>
      </c>
      <c r="Q10" s="25" t="n">
        <f aca="false">STDEV(C10:N10)</f>
        <v>36.2215405525497</v>
      </c>
    </row>
    <row r="11" customFormat="false" ht="15" hidden="false" customHeight="false" outlineLevel="0" collapsed="false">
      <c r="A11" s="19" t="s">
        <v>118</v>
      </c>
      <c r="B11" s="19" t="s">
        <v>119</v>
      </c>
      <c r="C11" s="21" t="n">
        <v>562</v>
      </c>
      <c r="D11" s="21" t="n">
        <v>568</v>
      </c>
      <c r="E11" s="21" t="n">
        <v>604</v>
      </c>
      <c r="F11" s="21" t="n">
        <v>597</v>
      </c>
      <c r="G11" s="21" t="n">
        <v>639</v>
      </c>
      <c r="H11" s="21" t="n">
        <v>518</v>
      </c>
      <c r="I11" s="21" t="n">
        <v>559</v>
      </c>
      <c r="J11" s="21" t="n">
        <v>551</v>
      </c>
      <c r="K11" s="21" t="n">
        <v>623</v>
      </c>
      <c r="L11" s="21" t="n">
        <v>538</v>
      </c>
      <c r="M11" s="21" t="n">
        <v>530</v>
      </c>
      <c r="N11" s="21" t="n">
        <v>566</v>
      </c>
      <c r="O11" s="25" t="n">
        <f aca="false">SUM(C11:N11)</f>
        <v>6855</v>
      </c>
      <c r="P11" s="25" t="n">
        <f aca="false">AVERAGE(C11:N11)</f>
        <v>571.25</v>
      </c>
      <c r="Q11" s="25" t="n">
        <f aca="false">STDEV(C11:N11)</f>
        <v>37.3317437432153</v>
      </c>
    </row>
    <row r="12" customFormat="false" ht="15" hidden="false" customHeight="false" outlineLevel="0" collapsed="false">
      <c r="A12" s="19" t="s">
        <v>120</v>
      </c>
      <c r="B12" s="19" t="s">
        <v>121</v>
      </c>
      <c r="C12" s="21" t="n">
        <v>14</v>
      </c>
      <c r="D12" s="21" t="n">
        <v>16</v>
      </c>
      <c r="E12" s="21" t="n">
        <v>16</v>
      </c>
      <c r="F12" s="21" t="n">
        <v>14</v>
      </c>
      <c r="G12" s="21" t="n">
        <v>14</v>
      </c>
      <c r="H12" s="21" t="n">
        <v>17</v>
      </c>
      <c r="I12" s="21" t="n">
        <v>15</v>
      </c>
      <c r="J12" s="21" t="n">
        <v>15</v>
      </c>
      <c r="K12" s="21" t="n">
        <v>16</v>
      </c>
      <c r="L12" s="21" t="n">
        <v>17</v>
      </c>
      <c r="M12" s="21" t="n">
        <v>17</v>
      </c>
      <c r="N12" s="21" t="n">
        <v>14</v>
      </c>
      <c r="O12" s="25" t="n">
        <f aca="false">SUM(C12:N12)</f>
        <v>185</v>
      </c>
      <c r="P12" s="25" t="n">
        <f aca="false">AVERAGE(C12:N12)</f>
        <v>15.4166666666667</v>
      </c>
      <c r="Q12" s="25" t="n">
        <f aca="false">STDEV(C12:N12)</f>
        <v>1.24011240937215</v>
      </c>
    </row>
    <row r="13" customFormat="false" ht="15" hidden="false" customHeight="false" outlineLevel="0" collapsed="false">
      <c r="A13" s="19" t="s">
        <v>123</v>
      </c>
      <c r="B13" s="19" t="s">
        <v>124</v>
      </c>
      <c r="C13" s="21" t="n">
        <v>582</v>
      </c>
      <c r="D13" s="21" t="n">
        <v>559</v>
      </c>
      <c r="E13" s="21" t="n">
        <v>519</v>
      </c>
      <c r="F13" s="21" t="n">
        <v>523</v>
      </c>
      <c r="G13" s="21" t="n">
        <v>501</v>
      </c>
      <c r="H13" s="21" t="n">
        <v>592</v>
      </c>
      <c r="I13" s="21" t="n">
        <v>502</v>
      </c>
      <c r="J13" s="21" t="n">
        <v>536</v>
      </c>
      <c r="K13" s="21" t="n">
        <v>500</v>
      </c>
      <c r="L13" s="21" t="n">
        <v>557</v>
      </c>
      <c r="M13" s="21" t="n">
        <v>617</v>
      </c>
      <c r="N13" s="21" t="n">
        <v>565</v>
      </c>
      <c r="O13" s="25" t="n">
        <f aca="false">SUM(C13:N13)</f>
        <v>6553</v>
      </c>
      <c r="P13" s="25" t="n">
        <f aca="false">AVERAGE(C13:N13)</f>
        <v>546.083333333333</v>
      </c>
      <c r="Q13" s="25" t="n">
        <f aca="false">STDEV(C13:N13)</f>
        <v>38.7754803811362</v>
      </c>
    </row>
    <row r="14" customFormat="false" ht="15" hidden="false" customHeight="false" outlineLevel="0" collapsed="false">
      <c r="A14" s="19" t="s">
        <v>125</v>
      </c>
      <c r="B14" s="19" t="s">
        <v>126</v>
      </c>
      <c r="C14" s="21" t="n">
        <v>417</v>
      </c>
      <c r="D14" s="21" t="n">
        <v>383</v>
      </c>
      <c r="E14" s="21" t="n">
        <v>384</v>
      </c>
      <c r="F14" s="21" t="n">
        <v>335</v>
      </c>
      <c r="G14" s="21" t="n">
        <v>339</v>
      </c>
      <c r="H14" s="21" t="n">
        <v>391</v>
      </c>
      <c r="I14" s="21" t="n">
        <v>383</v>
      </c>
      <c r="J14" s="21" t="n">
        <v>360</v>
      </c>
      <c r="K14" s="21" t="n">
        <v>355</v>
      </c>
      <c r="L14" s="21" t="n">
        <v>392</v>
      </c>
      <c r="M14" s="21" t="n">
        <v>360</v>
      </c>
      <c r="N14" s="21" t="n">
        <v>356</v>
      </c>
      <c r="O14" s="25" t="n">
        <f aca="false">SUM(C14:N14)</f>
        <v>4455</v>
      </c>
      <c r="P14" s="25" t="n">
        <f aca="false">AVERAGE(C14:N14)</f>
        <v>371.25</v>
      </c>
      <c r="Q14" s="25" t="n">
        <f aca="false">STDEV(C14:N14)</f>
        <v>24.2266757559063</v>
      </c>
    </row>
    <row r="15" customFormat="false" ht="15" hidden="false" customHeight="false" outlineLevel="0" collapsed="false">
      <c r="A15" s="19" t="s">
        <v>127</v>
      </c>
      <c r="B15" s="19" t="s">
        <v>128</v>
      </c>
      <c r="C15" s="21" t="n">
        <v>629</v>
      </c>
      <c r="D15" s="21" t="n">
        <v>505</v>
      </c>
      <c r="E15" s="21" t="n">
        <v>523</v>
      </c>
      <c r="F15" s="21" t="n">
        <v>530</v>
      </c>
      <c r="G15" s="21" t="n">
        <v>621</v>
      </c>
      <c r="H15" s="21" t="n">
        <v>613</v>
      </c>
      <c r="I15" s="21" t="n">
        <v>613</v>
      </c>
      <c r="J15" s="21" t="n">
        <v>544</v>
      </c>
      <c r="K15" s="21" t="n">
        <v>516</v>
      </c>
      <c r="L15" s="21" t="n">
        <v>607</v>
      </c>
      <c r="M15" s="21" t="n">
        <v>590</v>
      </c>
      <c r="N15" s="21" t="n">
        <v>577</v>
      </c>
      <c r="O15" s="25" t="n">
        <f aca="false">SUM(C15:N15)</f>
        <v>6868</v>
      </c>
      <c r="P15" s="25" t="n">
        <f aca="false">AVERAGE(C15:N15)</f>
        <v>572.333333333333</v>
      </c>
      <c r="Q15" s="25" t="n">
        <f aca="false">STDEV(C15:N15)</f>
        <v>45.8839114868527</v>
      </c>
    </row>
    <row r="16" customFormat="false" ht="15" hidden="false" customHeight="false" outlineLevel="0" collapsed="false">
      <c r="A16" s="19" t="s">
        <v>129</v>
      </c>
      <c r="B16" s="19" t="s">
        <v>130</v>
      </c>
      <c r="C16" s="21" t="n">
        <v>241</v>
      </c>
      <c r="D16" s="21" t="n">
        <v>279</v>
      </c>
      <c r="E16" s="21" t="n">
        <v>270</v>
      </c>
      <c r="F16" s="21" t="n">
        <v>234</v>
      </c>
      <c r="G16" s="21" t="n">
        <v>242</v>
      </c>
      <c r="H16" s="21" t="n">
        <v>238</v>
      </c>
      <c r="I16" s="21" t="n">
        <v>246</v>
      </c>
      <c r="J16" s="21" t="n">
        <v>267</v>
      </c>
      <c r="K16" s="21" t="n">
        <v>277</v>
      </c>
      <c r="L16" s="21" t="n">
        <v>256</v>
      </c>
      <c r="M16" s="21" t="n">
        <v>240</v>
      </c>
      <c r="N16" s="21" t="n">
        <v>280</v>
      </c>
      <c r="O16" s="25" t="n">
        <f aca="false">SUM(C16:N16)</f>
        <v>3070</v>
      </c>
      <c r="P16" s="25" t="n">
        <f aca="false">AVERAGE(C16:N16)</f>
        <v>255.833333333333</v>
      </c>
      <c r="Q16" s="25" t="n">
        <f aca="false">STDEV(C16:N16)</f>
        <v>17.703791752736</v>
      </c>
    </row>
    <row r="17" customFormat="false" ht="15" hidden="false" customHeight="false" outlineLevel="0" collapsed="false">
      <c r="A17" s="19" t="s">
        <v>131</v>
      </c>
      <c r="B17" s="19" t="s">
        <v>132</v>
      </c>
      <c r="C17" s="21" t="n">
        <v>403</v>
      </c>
      <c r="D17" s="21" t="n">
        <v>433</v>
      </c>
      <c r="E17" s="21" t="n">
        <v>460</v>
      </c>
      <c r="F17" s="21" t="n">
        <v>445</v>
      </c>
      <c r="G17" s="21" t="n">
        <v>398</v>
      </c>
      <c r="H17" s="21" t="n">
        <v>486</v>
      </c>
      <c r="I17" s="21" t="n">
        <v>459</v>
      </c>
      <c r="J17" s="21" t="n">
        <v>402</v>
      </c>
      <c r="K17" s="21" t="n">
        <v>390</v>
      </c>
      <c r="L17" s="21" t="n">
        <v>425</v>
      </c>
      <c r="M17" s="21" t="n">
        <v>444</v>
      </c>
      <c r="N17" s="21" t="n">
        <v>431</v>
      </c>
      <c r="O17" s="25" t="n">
        <f aca="false">SUM(C17:N17)</f>
        <v>5176</v>
      </c>
      <c r="P17" s="25" t="n">
        <f aca="false">AVERAGE(C17:N17)</f>
        <v>431.333333333333</v>
      </c>
      <c r="Q17" s="25" t="n">
        <f aca="false">STDEV(C17:N17)</f>
        <v>29.3081848119207</v>
      </c>
    </row>
    <row r="18" customFormat="false" ht="15" hidden="false" customHeight="false" outlineLevel="0" collapsed="false">
      <c r="A18" s="19" t="s">
        <v>133</v>
      </c>
      <c r="B18" s="19" t="s">
        <v>134</v>
      </c>
      <c r="C18" s="21" t="n">
        <v>170</v>
      </c>
      <c r="D18" s="21" t="n">
        <v>161</v>
      </c>
      <c r="E18" s="21" t="n">
        <v>111</v>
      </c>
      <c r="F18" s="21" t="n">
        <v>93</v>
      </c>
      <c r="G18" s="21" t="n">
        <v>73</v>
      </c>
      <c r="H18" s="21" t="n">
        <v>75</v>
      </c>
      <c r="I18" s="21" t="n">
        <v>74</v>
      </c>
      <c r="J18" s="21" t="n">
        <v>89</v>
      </c>
      <c r="K18" s="21" t="n">
        <v>110</v>
      </c>
      <c r="L18" s="21" t="n">
        <v>149</v>
      </c>
      <c r="M18" s="21" t="n">
        <v>141</v>
      </c>
      <c r="N18" s="21" t="n">
        <v>168</v>
      </c>
      <c r="O18" s="25" t="n">
        <f aca="false">SUM(C18:N18)</f>
        <v>1414</v>
      </c>
      <c r="P18" s="25" t="n">
        <f aca="false">AVERAGE(C18:N18)</f>
        <v>117.833333333333</v>
      </c>
      <c r="Q18" s="25" t="n">
        <f aca="false">STDEV(C18:N18)</f>
        <v>38.0569748316039</v>
      </c>
    </row>
    <row r="19" customFormat="false" ht="15" hidden="false" customHeight="false" outlineLevel="0" collapsed="false">
      <c r="A19" s="19" t="s">
        <v>135</v>
      </c>
      <c r="B19" s="19" t="s">
        <v>136</v>
      </c>
      <c r="C19" s="21" t="n">
        <v>447</v>
      </c>
      <c r="D19" s="21" t="n">
        <v>380</v>
      </c>
      <c r="E19" s="21" t="n">
        <v>326</v>
      </c>
      <c r="F19" s="21" t="n">
        <v>244</v>
      </c>
      <c r="G19" s="21" t="n">
        <v>253</v>
      </c>
      <c r="H19" s="21" t="n">
        <v>190</v>
      </c>
      <c r="I19" s="21" t="n">
        <v>212</v>
      </c>
      <c r="J19" s="21" t="n">
        <v>251</v>
      </c>
      <c r="K19" s="21" t="n">
        <v>276</v>
      </c>
      <c r="L19" s="21" t="n">
        <v>409</v>
      </c>
      <c r="M19" s="21" t="n">
        <v>449</v>
      </c>
      <c r="N19" s="21" t="n">
        <v>436</v>
      </c>
      <c r="O19" s="25" t="n">
        <f aca="false">SUM(C19:N19)</f>
        <v>3873</v>
      </c>
      <c r="P19" s="25" t="n">
        <f aca="false">AVERAGE(C19:N19)</f>
        <v>322.75</v>
      </c>
      <c r="Q19" s="25" t="n">
        <f aca="false">STDEV(C19:N19)</f>
        <v>96.8683502116521</v>
      </c>
    </row>
    <row r="20" customFormat="false" ht="15" hidden="false" customHeight="false" outlineLevel="0" collapsed="false">
      <c r="A20" s="19" t="s">
        <v>137</v>
      </c>
      <c r="B20" s="19" t="s">
        <v>138</v>
      </c>
      <c r="C20" s="21" t="n">
        <v>33</v>
      </c>
      <c r="D20" s="21" t="n">
        <v>24</v>
      </c>
      <c r="E20" s="21" t="n">
        <v>22</v>
      </c>
      <c r="F20" s="21" t="n">
        <v>15</v>
      </c>
      <c r="G20" s="21" t="n">
        <v>13</v>
      </c>
      <c r="H20" s="21" t="n">
        <v>11</v>
      </c>
      <c r="I20" s="21" t="n">
        <v>11</v>
      </c>
      <c r="J20" s="21" t="n">
        <v>14</v>
      </c>
      <c r="K20" s="21" t="n">
        <v>21</v>
      </c>
      <c r="L20" s="21" t="n">
        <v>27</v>
      </c>
      <c r="M20" s="21" t="n">
        <v>33</v>
      </c>
      <c r="N20" s="21" t="n">
        <v>26</v>
      </c>
      <c r="O20" s="25" t="n">
        <f aca="false">SUM(C20:N20)</f>
        <v>250</v>
      </c>
      <c r="P20" s="25" t="n">
        <f aca="false">AVERAGE(C20:N20)</f>
        <v>20.8333333333333</v>
      </c>
      <c r="Q20" s="25" t="n">
        <f aca="false">STDEV(C20:N20)</f>
        <v>8.02080627701064</v>
      </c>
    </row>
    <row r="21" customFormat="false" ht="15" hidden="false" customHeight="false" outlineLevel="0" collapsed="false">
      <c r="A21" s="19" t="s">
        <v>139</v>
      </c>
      <c r="B21" s="19" t="s">
        <v>140</v>
      </c>
      <c r="C21" s="21" t="n">
        <v>25</v>
      </c>
      <c r="D21" s="21" t="n">
        <v>23</v>
      </c>
      <c r="E21" s="21" t="n">
        <v>17</v>
      </c>
      <c r="F21" s="21" t="n">
        <v>12</v>
      </c>
      <c r="G21" s="21" t="n">
        <v>9</v>
      </c>
      <c r="H21" s="21" t="n">
        <v>11</v>
      </c>
      <c r="I21" s="21" t="n">
        <v>10</v>
      </c>
      <c r="J21" s="21" t="n">
        <v>11</v>
      </c>
      <c r="K21" s="21" t="n">
        <v>16</v>
      </c>
      <c r="L21" s="21" t="n">
        <v>20</v>
      </c>
      <c r="M21" s="21" t="n">
        <v>28</v>
      </c>
      <c r="N21" s="21" t="n">
        <v>21</v>
      </c>
      <c r="O21" s="25" t="n">
        <f aca="false">SUM(C21:N21)</f>
        <v>203</v>
      </c>
      <c r="P21" s="25" t="n">
        <f aca="false">AVERAGE(C21:N21)</f>
        <v>16.9166666666667</v>
      </c>
      <c r="Q21" s="25" t="n">
        <f aca="false">STDEV(C21:N21)</f>
        <v>6.44498865692398</v>
      </c>
    </row>
    <row r="22" customFormat="false" ht="15" hidden="false" customHeight="false" outlineLevel="0" collapsed="false">
      <c r="A22" s="19" t="s">
        <v>141</v>
      </c>
      <c r="B22" s="19" t="s">
        <v>142</v>
      </c>
      <c r="C22" s="21" t="n">
        <v>27</v>
      </c>
      <c r="D22" s="21" t="n">
        <v>22</v>
      </c>
      <c r="E22" s="21" t="n">
        <v>18</v>
      </c>
      <c r="F22" s="21" t="n">
        <v>12</v>
      </c>
      <c r="G22" s="21" t="n">
        <v>10</v>
      </c>
      <c r="H22" s="21" t="n">
        <v>10</v>
      </c>
      <c r="I22" s="21" t="n">
        <v>11</v>
      </c>
      <c r="J22" s="21" t="n">
        <v>13</v>
      </c>
      <c r="K22" s="21" t="n">
        <v>17</v>
      </c>
      <c r="L22" s="21" t="n">
        <v>24</v>
      </c>
      <c r="M22" s="21" t="n">
        <v>26</v>
      </c>
      <c r="N22" s="21" t="n">
        <v>23</v>
      </c>
      <c r="O22" s="25" t="n">
        <f aca="false">SUM(C22:N22)</f>
        <v>213</v>
      </c>
      <c r="P22" s="25" t="n">
        <f aca="false">AVERAGE(C22:N22)</f>
        <v>17.75</v>
      </c>
      <c r="Q22" s="25" t="n">
        <f aca="false">STDEV(C22:N22)</f>
        <v>6.46845492300202</v>
      </c>
    </row>
    <row r="23" customFormat="false" ht="15" hidden="false" customHeight="false" outlineLevel="0" collapsed="false">
      <c r="A23" s="19" t="s">
        <v>143</v>
      </c>
      <c r="B23" s="19" t="s">
        <v>144</v>
      </c>
      <c r="C23" s="21" t="n">
        <v>330</v>
      </c>
      <c r="D23" s="21" t="n">
        <v>406</v>
      </c>
      <c r="E23" s="21" t="n">
        <v>343</v>
      </c>
      <c r="F23" s="21" t="n">
        <v>349</v>
      </c>
      <c r="G23" s="21" t="n">
        <v>393</v>
      </c>
      <c r="H23" s="21" t="n">
        <v>335</v>
      </c>
      <c r="I23" s="21" t="n">
        <v>326</v>
      </c>
      <c r="J23" s="21" t="n">
        <v>408</v>
      </c>
      <c r="K23" s="21" t="n">
        <v>376</v>
      </c>
      <c r="L23" s="21" t="n">
        <v>389</v>
      </c>
      <c r="M23" s="21" t="n">
        <v>362</v>
      </c>
      <c r="N23" s="21" t="n">
        <v>400</v>
      </c>
      <c r="O23" s="25" t="n">
        <f aca="false">SUM(C23:N23)</f>
        <v>4417</v>
      </c>
      <c r="P23" s="25" t="n">
        <f aca="false">AVERAGE(C23:N23)</f>
        <v>368.083333333333</v>
      </c>
      <c r="Q23" s="25" t="n">
        <f aca="false">STDEV(C23:N23)</f>
        <v>30.9205972344218</v>
      </c>
    </row>
    <row r="24" customFormat="false" ht="15" hidden="false" customHeight="false" outlineLevel="0" collapsed="false">
      <c r="A24" s="19" t="s">
        <v>145</v>
      </c>
      <c r="B24" s="19" t="s">
        <v>146</v>
      </c>
      <c r="C24" s="21" t="n">
        <v>546</v>
      </c>
      <c r="D24" s="21" t="n">
        <v>478</v>
      </c>
      <c r="E24" s="21" t="n">
        <v>549</v>
      </c>
      <c r="F24" s="21" t="n">
        <v>536</v>
      </c>
      <c r="G24" s="21" t="n">
        <v>508</v>
      </c>
      <c r="H24" s="21" t="n">
        <v>519</v>
      </c>
      <c r="I24" s="21" t="n">
        <v>563</v>
      </c>
      <c r="J24" s="21" t="n">
        <v>466</v>
      </c>
      <c r="K24" s="21" t="n">
        <v>467</v>
      </c>
      <c r="L24" s="21" t="n">
        <v>508</v>
      </c>
      <c r="M24" s="21" t="n">
        <v>516</v>
      </c>
      <c r="N24" s="21" t="n">
        <v>519</v>
      </c>
      <c r="O24" s="25" t="n">
        <f aca="false">SUM(C24:N24)</f>
        <v>6175</v>
      </c>
      <c r="P24" s="25" t="n">
        <f aca="false">AVERAGE(C24:N24)</f>
        <v>514.583333333333</v>
      </c>
      <c r="Q24" s="25" t="n">
        <f aca="false">STDEV(C24:N24)</f>
        <v>31.7159504847563</v>
      </c>
    </row>
    <row r="25" customFormat="false" ht="15" hidden="false" customHeight="false" outlineLevel="0" collapsed="false">
      <c r="A25" s="19" t="s">
        <v>147</v>
      </c>
      <c r="B25" s="19" t="s">
        <v>148</v>
      </c>
      <c r="C25" s="21" t="n">
        <v>545</v>
      </c>
      <c r="D25" s="21" t="n">
        <v>507</v>
      </c>
      <c r="E25" s="21" t="n">
        <v>600</v>
      </c>
      <c r="F25" s="21" t="n">
        <v>545</v>
      </c>
      <c r="G25" s="21" t="n">
        <v>585</v>
      </c>
      <c r="H25" s="21" t="n">
        <v>597</v>
      </c>
      <c r="I25" s="21" t="n">
        <v>523</v>
      </c>
      <c r="J25" s="21" t="n">
        <v>589</v>
      </c>
      <c r="K25" s="21" t="n">
        <v>550</v>
      </c>
      <c r="L25" s="21" t="n">
        <v>518</v>
      </c>
      <c r="M25" s="21" t="n">
        <v>544</v>
      </c>
      <c r="N25" s="21" t="n">
        <v>580</v>
      </c>
      <c r="O25" s="25" t="n">
        <f aca="false">SUM(C25:N25)</f>
        <v>6683</v>
      </c>
      <c r="P25" s="25" t="n">
        <f aca="false">AVERAGE(C25:N25)</f>
        <v>556.916666666667</v>
      </c>
      <c r="Q25" s="25" t="n">
        <f aca="false">STDEV(C25:N25)</f>
        <v>32.2897628959828</v>
      </c>
    </row>
    <row r="26" customFormat="false" ht="15" hidden="false" customHeight="false" outlineLevel="0" collapsed="false">
      <c r="A26" s="19" t="s">
        <v>149</v>
      </c>
      <c r="B26" s="19" t="s">
        <v>150</v>
      </c>
      <c r="C26" s="21" t="n">
        <v>89</v>
      </c>
      <c r="D26" s="21" t="n">
        <v>90</v>
      </c>
      <c r="E26" s="21" t="n">
        <v>79</v>
      </c>
      <c r="F26" s="21" t="n">
        <v>63</v>
      </c>
      <c r="G26" s="21" t="n">
        <v>46</v>
      </c>
      <c r="H26" s="21" t="n">
        <v>42</v>
      </c>
      <c r="I26" s="21" t="n">
        <v>47</v>
      </c>
      <c r="J26" s="21" t="n">
        <v>44</v>
      </c>
      <c r="K26" s="21" t="n">
        <v>67</v>
      </c>
      <c r="L26" s="21" t="n">
        <v>93</v>
      </c>
      <c r="M26" s="21" t="n">
        <v>106</v>
      </c>
      <c r="N26" s="21" t="n">
        <v>104</v>
      </c>
      <c r="O26" s="25" t="n">
        <f aca="false">SUM(C26:N26)</f>
        <v>870</v>
      </c>
      <c r="P26" s="25" t="n">
        <f aca="false">AVERAGE(C26:N26)</f>
        <v>72.5</v>
      </c>
      <c r="Q26" s="25" t="n">
        <f aca="false">STDEV(C26:N26)</f>
        <v>24.0661965873675</v>
      </c>
    </row>
    <row r="27" customFormat="false" ht="15" hidden="false" customHeight="false" outlineLevel="0" collapsed="false">
      <c r="A27" s="19" t="s">
        <v>151</v>
      </c>
      <c r="B27" s="19" t="s">
        <v>152</v>
      </c>
      <c r="C27" s="21" t="n">
        <v>792</v>
      </c>
      <c r="D27" s="21" t="n">
        <v>669</v>
      </c>
      <c r="E27" s="21" t="n">
        <v>537</v>
      </c>
      <c r="F27" s="21" t="n">
        <v>463</v>
      </c>
      <c r="G27" s="21" t="n">
        <v>352</v>
      </c>
      <c r="H27" s="21" t="n">
        <v>322</v>
      </c>
      <c r="I27" s="21" t="n">
        <v>332</v>
      </c>
      <c r="J27" s="21" t="n">
        <v>326</v>
      </c>
      <c r="K27" s="21" t="n">
        <v>503</v>
      </c>
      <c r="L27" s="21" t="n">
        <v>682</v>
      </c>
      <c r="M27" s="21" t="n">
        <v>806</v>
      </c>
      <c r="N27" s="21" t="n">
        <v>781</v>
      </c>
      <c r="O27" s="25" t="n">
        <f aca="false">SUM(C27:N27)</f>
        <v>6565</v>
      </c>
      <c r="P27" s="25" t="n">
        <f aca="false">AVERAGE(C27:N27)</f>
        <v>547.083333333333</v>
      </c>
      <c r="Q27" s="25" t="n">
        <f aca="false">STDEV(C27:N27)</f>
        <v>192.537816041578</v>
      </c>
    </row>
    <row r="28" customFormat="false" ht="15" hidden="false" customHeight="false" outlineLevel="0" collapsed="false">
      <c r="A28" s="19" t="s">
        <v>153</v>
      </c>
      <c r="B28" s="19" t="s">
        <v>154</v>
      </c>
      <c r="C28" s="21" t="n">
        <v>627</v>
      </c>
      <c r="D28" s="21" t="n">
        <v>682</v>
      </c>
      <c r="E28" s="21" t="n">
        <v>654</v>
      </c>
      <c r="F28" s="21" t="n">
        <v>673</v>
      </c>
      <c r="G28" s="21" t="n">
        <v>747</v>
      </c>
      <c r="H28" s="21" t="n">
        <v>682</v>
      </c>
      <c r="I28" s="21" t="n">
        <v>745</v>
      </c>
      <c r="J28" s="21" t="n">
        <v>759</v>
      </c>
      <c r="K28" s="21" t="n">
        <v>661</v>
      </c>
      <c r="L28" s="21" t="n">
        <v>632</v>
      </c>
      <c r="M28" s="21" t="n">
        <v>622</v>
      </c>
      <c r="N28" s="21" t="n">
        <v>709</v>
      </c>
      <c r="O28" s="25" t="n">
        <f aca="false">SUM(C28:N28)</f>
        <v>8193</v>
      </c>
      <c r="P28" s="25" t="n">
        <f aca="false">AVERAGE(C28:N28)</f>
        <v>682.75</v>
      </c>
      <c r="Q28" s="25" t="n">
        <f aca="false">STDEV(C28:N28)</f>
        <v>47.9357998691052</v>
      </c>
    </row>
    <row r="29" customFormat="false" ht="15" hidden="false" customHeight="false" outlineLevel="0" collapsed="false">
      <c r="A29" s="19" t="s">
        <v>155</v>
      </c>
      <c r="B29" s="19" t="s">
        <v>156</v>
      </c>
      <c r="C29" s="21" t="n">
        <v>644</v>
      </c>
      <c r="D29" s="21" t="n">
        <v>614</v>
      </c>
      <c r="E29" s="21" t="n">
        <v>636</v>
      </c>
      <c r="F29" s="21" t="n">
        <v>632</v>
      </c>
      <c r="G29" s="21" t="n">
        <v>722</v>
      </c>
      <c r="H29" s="21" t="n">
        <v>704</v>
      </c>
      <c r="I29" s="21" t="n">
        <v>647</v>
      </c>
      <c r="J29" s="21" t="n">
        <v>727</v>
      </c>
      <c r="K29" s="21" t="n">
        <v>738</v>
      </c>
      <c r="L29" s="21" t="n">
        <v>638</v>
      </c>
      <c r="M29" s="21" t="n">
        <v>712</v>
      </c>
      <c r="N29" s="21" t="n">
        <v>735</v>
      </c>
      <c r="O29" s="25" t="n">
        <f aca="false">SUM(C29:N29)</f>
        <v>8149</v>
      </c>
      <c r="P29" s="25" t="n">
        <f aca="false">AVERAGE(C29:N29)</f>
        <v>679.083333333333</v>
      </c>
      <c r="Q29" s="25" t="n">
        <f aca="false">STDEV(C29:N29)</f>
        <v>47.3832696468304</v>
      </c>
    </row>
    <row r="30" customFormat="false" ht="15" hidden="false" customHeight="false" outlineLevel="0" collapsed="false">
      <c r="A30" s="19" t="s">
        <v>157</v>
      </c>
      <c r="B30" s="19" t="s">
        <v>158</v>
      </c>
      <c r="C30" s="21" t="n">
        <v>451</v>
      </c>
      <c r="D30" s="21" t="n">
        <v>486</v>
      </c>
      <c r="E30" s="21" t="n">
        <v>415</v>
      </c>
      <c r="F30" s="21" t="n">
        <v>483</v>
      </c>
      <c r="G30" s="21" t="n">
        <v>476</v>
      </c>
      <c r="H30" s="21" t="n">
        <v>418</v>
      </c>
      <c r="I30" s="21" t="n">
        <v>493</v>
      </c>
      <c r="J30" s="21" t="n">
        <v>501</v>
      </c>
      <c r="K30" s="21" t="n">
        <v>473</v>
      </c>
      <c r="L30" s="21" t="n">
        <v>420</v>
      </c>
      <c r="M30" s="21" t="n">
        <v>516</v>
      </c>
      <c r="N30" s="21" t="n">
        <v>494</v>
      </c>
      <c r="O30" s="25" t="n">
        <f aca="false">SUM(C30:N30)</f>
        <v>5626</v>
      </c>
      <c r="P30" s="25" t="n">
        <f aca="false">AVERAGE(C30:N30)</f>
        <v>468.833333333333</v>
      </c>
      <c r="Q30" s="25" t="n">
        <f aca="false">STDEV(C30:N30)</f>
        <v>34.6746785613556</v>
      </c>
    </row>
    <row r="31" customFormat="false" ht="15" hidden="false" customHeight="false" outlineLevel="0" collapsed="false">
      <c r="A31" s="19" t="s">
        <v>159</v>
      </c>
      <c r="B31" s="19" t="s">
        <v>160</v>
      </c>
      <c r="C31" s="21" t="n">
        <v>51</v>
      </c>
      <c r="D31" s="21" t="n">
        <v>63</v>
      </c>
      <c r="E31" s="21" t="n">
        <v>58</v>
      </c>
      <c r="F31" s="21" t="n">
        <v>61</v>
      </c>
      <c r="G31" s="21" t="n">
        <v>59</v>
      </c>
      <c r="H31" s="21" t="n">
        <v>56</v>
      </c>
      <c r="I31" s="21" t="n">
        <v>60</v>
      </c>
      <c r="J31" s="21" t="n">
        <v>63</v>
      </c>
      <c r="K31" s="21" t="n">
        <v>53</v>
      </c>
      <c r="L31" s="21" t="n">
        <v>61</v>
      </c>
      <c r="M31" s="21" t="n">
        <v>57</v>
      </c>
      <c r="N31" s="21" t="n">
        <v>56</v>
      </c>
      <c r="O31" s="25" t="n">
        <f aca="false">SUM(C31:N31)</f>
        <v>698</v>
      </c>
      <c r="P31" s="25" t="n">
        <f aca="false">AVERAGE(C31:N31)</f>
        <v>58.1666666666667</v>
      </c>
      <c r="Q31" s="25" t="n">
        <f aca="false">STDEV(C31:N31)</f>
        <v>3.7618499639825</v>
      </c>
    </row>
  </sheetData>
  <autoFilter ref="A1:Q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W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14"/>
    <col collapsed="false" customWidth="true" hidden="false" outlineLevel="0" max="17" min="17" style="0" width="16"/>
    <col collapsed="false" customWidth="true" hidden="false" outlineLevel="0" max="18" min="18" style="0" width="9"/>
    <col collapsed="false" customWidth="true" hidden="false" outlineLevel="0" max="19" min="19" style="0" width="15"/>
    <col collapsed="false" customWidth="true" hidden="false" outlineLevel="0" max="20" min="20" style="0" width="10"/>
    <col collapsed="false" customWidth="true" hidden="false" outlineLevel="0" max="21" min="21" style="0" width="9"/>
    <col collapsed="false" customWidth="true" hidden="false" outlineLevel="0" max="22" min="22" style="0" width="13"/>
    <col collapsed="false" customWidth="true" hidden="false" outlineLevel="0" max="23" min="23" style="0" width="16"/>
  </cols>
  <sheetData>
    <row r="1" customFormat="false" ht="16.15" hidden="false" customHeight="false" outlineLevel="0" collapsed="false">
      <c r="A1" s="26" t="s">
        <v>165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customFormat="false" ht="15" hidden="false" customHeight="false" outlineLevel="0" collapsed="false">
      <c r="A2" s="27" t="s">
        <v>166</v>
      </c>
      <c r="B2" s="28" t="n">
        <v>1.65</v>
      </c>
      <c r="C2" s="13" t="s">
        <v>167</v>
      </c>
    </row>
    <row r="4" customFormat="false" ht="42" hidden="false" customHeight="true" outlineLevel="0" collapsed="false">
      <c r="A4" s="18" t="s">
        <v>83</v>
      </c>
      <c r="B4" s="18" t="s">
        <v>82</v>
      </c>
      <c r="C4" s="18" t="s">
        <v>45</v>
      </c>
      <c r="D4" s="18" t="s">
        <v>168</v>
      </c>
      <c r="E4" s="18" t="s">
        <v>86</v>
      </c>
      <c r="F4" s="18" t="s">
        <v>169</v>
      </c>
      <c r="G4" s="18" t="s">
        <v>163</v>
      </c>
      <c r="H4" s="18" t="s">
        <v>170</v>
      </c>
      <c r="I4" s="18" t="s">
        <v>89</v>
      </c>
      <c r="J4" s="18" t="s">
        <v>171</v>
      </c>
      <c r="K4" s="18" t="s">
        <v>172</v>
      </c>
      <c r="L4" s="18" t="s">
        <v>173</v>
      </c>
      <c r="M4" s="18" t="s">
        <v>174</v>
      </c>
      <c r="N4" s="18" t="s">
        <v>175</v>
      </c>
      <c r="O4" s="18" t="s">
        <v>176</v>
      </c>
      <c r="P4" s="18" t="s">
        <v>177</v>
      </c>
      <c r="Q4" s="18" t="s">
        <v>178</v>
      </c>
      <c r="R4" s="18" t="s">
        <v>179</v>
      </c>
      <c r="S4" s="18" t="s">
        <v>180</v>
      </c>
      <c r="T4" s="18" t="s">
        <v>181</v>
      </c>
      <c r="U4" s="18" t="s">
        <v>47</v>
      </c>
      <c r="V4" s="18" t="s">
        <v>24</v>
      </c>
      <c r="W4" s="18" t="s">
        <v>182</v>
      </c>
    </row>
    <row r="5" customFormat="false" ht="15" hidden="false" customHeight="false" outlineLevel="0" collapsed="false">
      <c r="A5" s="16" t="str">
        <f aca="false">'Product Master'!A2</f>
        <v>PH-001</v>
      </c>
      <c r="B5" s="16" t="str">
        <f aca="false">'Product Master'!B2</f>
        <v>Paracetamol 500mg Tablets</v>
      </c>
      <c r="C5" s="16" t="str">
        <f aca="false">'Product Master'!C2</f>
        <v>Analgesics</v>
      </c>
      <c r="D5" s="25" t="n">
        <f aca="false">INDEX('Product Master'!$H$2:$H$31,MATCH($A5,'Product Master'!$A$2:$A$31,0))</f>
        <v>6003</v>
      </c>
      <c r="E5" s="29" t="n">
        <f aca="false">INDEX('Product Master'!$F$2:$F$31,MATCH($A5,'Product Master'!$A$2:$A$31,0))</f>
        <v>0.071</v>
      </c>
      <c r="F5" s="25" t="n">
        <f aca="false">INDEX('Monthly Demand'!$O$2:$O$31,MATCH($A5,'Monthly Demand'!$A$2:$A$31,0))</f>
        <v>5072</v>
      </c>
      <c r="G5" s="25" t="n">
        <f aca="false">INDEX('Monthly Demand'!$P$2:$P$31,MATCH($A5,'Monthly Demand'!$A$2:$A$31,0))</f>
        <v>422.666666666667</v>
      </c>
      <c r="H5" s="25" t="n">
        <f aca="false">INDEX('Monthly Demand'!$Q$2:$Q$31,MATCH($A5,'Monthly Demand'!$A$2:$A$31,0))</f>
        <v>27.5494046572643</v>
      </c>
      <c r="I5" s="30" t="n">
        <f aca="false">INDEX('Product Master'!$I$2:$I$31,MATCH($A5,'Product Master'!$A$2:$A$31,0))</f>
        <v>10</v>
      </c>
      <c r="J5" s="31" t="n">
        <f aca="false">INDEX('Product Master'!$J$2:$J$31,MATCH($A5,'Product Master'!$A$2:$A$31,0))</f>
        <v>121.01</v>
      </c>
      <c r="K5" s="32" t="n">
        <f aca="false">INDEX('Product Master'!$K$2:$K$31,MATCH($A5,'Product Master'!$A$2:$A$31,0))</f>
        <v>0.197</v>
      </c>
      <c r="L5" s="33" t="n">
        <f aca="false">E5*K5</f>
        <v>0.013987</v>
      </c>
      <c r="M5" s="25" t="n">
        <f aca="false">IFERROR(SQRT(2*F5*J5/L5),0)</f>
        <v>9368.13117688565</v>
      </c>
      <c r="N5" s="34" t="n">
        <f aca="false">F5/365</f>
        <v>13.8958904109589</v>
      </c>
      <c r="O5" s="25" t="n">
        <f aca="false">$B$2*H5*SQRT(I5/30)</f>
        <v>26.2443327215611</v>
      </c>
      <c r="P5" s="25" t="n">
        <f aca="false">N5*I5+O5</f>
        <v>165.20323683115</v>
      </c>
      <c r="Q5" s="17" t="n">
        <f aca="false">D5*E5</f>
        <v>426.213</v>
      </c>
      <c r="R5" s="16" t="n">
        <f aca="false">RANK(Q5,$Q$5:$Q$34)</f>
        <v>17</v>
      </c>
      <c r="S5" s="17" t="n">
        <f aca="false">SUMPRODUCT(($R$5:$R$34&lt;=R5)*$Q$5:$Q$34)</f>
        <v>34840.566</v>
      </c>
      <c r="T5" s="32" t="n">
        <f aca="false">S5/SUM($Q$5:$Q$34)</f>
        <v>0.932700638477292</v>
      </c>
      <c r="U5" s="16" t="str">
        <f aca="false">IF(T5&lt;=0.7,"A",IF(T5&lt;=0.9,"B","C"))</f>
        <v>C</v>
      </c>
      <c r="V5" s="16" t="str">
        <f aca="false">IF(D5&lt;P5,"Reorder Now",IF(D5&gt;M5*2,"Overstock","OK"))</f>
        <v>OK</v>
      </c>
      <c r="W5" s="25" t="n">
        <f aca="false">IF(V5="Reorder Now",ROUND(MAX(M5,INDEX('Product Master'!$L$2:$L$31,MATCH($A5,'Product Master'!$A$2:$A$31,0))),0),0)</f>
        <v>0</v>
      </c>
    </row>
    <row r="6" customFormat="false" ht="15" hidden="false" customHeight="false" outlineLevel="0" collapsed="false">
      <c r="A6" s="16" t="str">
        <f aca="false">'Product Master'!A3</f>
        <v>PH-002</v>
      </c>
      <c r="B6" s="16" t="str">
        <f aca="false">'Product Master'!B3</f>
        <v>Ibuprofen 400mg Tablets</v>
      </c>
      <c r="C6" s="16" t="str">
        <f aca="false">'Product Master'!C3</f>
        <v>Analgesics</v>
      </c>
      <c r="D6" s="25" t="n">
        <f aca="false">INDEX('Product Master'!$H$2:$H$31,MATCH($A6,'Product Master'!$A$2:$A$31,0))</f>
        <v>12133</v>
      </c>
      <c r="E6" s="29" t="n">
        <f aca="false">INDEX('Product Master'!$F$2:$F$31,MATCH($A6,'Product Master'!$A$2:$A$31,0))</f>
        <v>0.021</v>
      </c>
      <c r="F6" s="25" t="n">
        <f aca="false">INDEX('Monthly Demand'!$O$2:$O$31,MATCH($A6,'Monthly Demand'!$A$2:$A$31,0))</f>
        <v>8371</v>
      </c>
      <c r="G6" s="25" t="n">
        <f aca="false">INDEX('Monthly Demand'!$P$2:$P$31,MATCH($A6,'Monthly Demand'!$A$2:$A$31,0))</f>
        <v>697.583333333333</v>
      </c>
      <c r="H6" s="25" t="n">
        <f aca="false">INDEX('Monthly Demand'!$Q$2:$Q$31,MATCH($A6,'Monthly Demand'!$A$2:$A$31,0))</f>
        <v>44.1453350430213</v>
      </c>
      <c r="I6" s="30" t="n">
        <f aca="false">INDEX('Product Master'!$I$2:$I$31,MATCH($A6,'Product Master'!$A$2:$A$31,0))</f>
        <v>14</v>
      </c>
      <c r="J6" s="31" t="n">
        <f aca="false">INDEX('Product Master'!$J$2:$J$31,MATCH($A6,'Product Master'!$A$2:$A$31,0))</f>
        <v>57.1</v>
      </c>
      <c r="K6" s="32" t="n">
        <f aca="false">INDEX('Product Master'!$K$2:$K$31,MATCH($A6,'Product Master'!$A$2:$A$31,0))</f>
        <v>0.217</v>
      </c>
      <c r="L6" s="33" t="n">
        <f aca="false">E6*K6</f>
        <v>0.004557</v>
      </c>
      <c r="M6" s="25" t="n">
        <f aca="false">IFERROR(SQRT(2*F6*J6/L6),0)</f>
        <v>14483.789641787</v>
      </c>
      <c r="N6" s="34" t="n">
        <f aca="false">F6/365</f>
        <v>22.9342465753425</v>
      </c>
      <c r="O6" s="25" t="n">
        <f aca="false">$B$2*H6*SQRT(I6/30)</f>
        <v>49.7590582205893</v>
      </c>
      <c r="P6" s="25" t="n">
        <f aca="false">N6*I6+O6</f>
        <v>370.838510275384</v>
      </c>
      <c r="Q6" s="17" t="n">
        <f aca="false">D6*E6</f>
        <v>254.793</v>
      </c>
      <c r="R6" s="16" t="n">
        <f aca="false">RANK(Q6,$Q$5:$Q$34)</f>
        <v>21</v>
      </c>
      <c r="S6" s="17" t="n">
        <f aca="false">SUMPRODUCT(($R$5:$R$34&lt;=R6)*$Q$5:$Q$34)</f>
        <v>36275.448</v>
      </c>
      <c r="T6" s="32" t="n">
        <f aca="false">S6/SUM($Q$5:$Q$34)</f>
        <v>0.971113199212946</v>
      </c>
      <c r="U6" s="16" t="str">
        <f aca="false">IF(T6&lt;=0.7,"A",IF(T6&lt;=0.9,"B","C"))</f>
        <v>C</v>
      </c>
      <c r="V6" s="16" t="str">
        <f aca="false">IF(D6&lt;P6,"Reorder Now",IF(D6&gt;M6*2,"Overstock","OK"))</f>
        <v>OK</v>
      </c>
      <c r="W6" s="25" t="n">
        <f aca="false">IF(V6="Reorder Now",ROUND(MAX(M6,INDEX('Product Master'!$L$2:$L$31,MATCH($A6,'Product Master'!$A$2:$A$31,0))),0),0)</f>
        <v>0</v>
      </c>
    </row>
    <row r="7" customFormat="false" ht="15" hidden="false" customHeight="false" outlineLevel="0" collapsed="false">
      <c r="A7" s="16" t="str">
        <f aca="false">'Product Master'!A4</f>
        <v>PH-003</v>
      </c>
      <c r="B7" s="16" t="str">
        <f aca="false">'Product Master'!B4</f>
        <v>Aspirin 75mg Tablets</v>
      </c>
      <c r="C7" s="16" t="str">
        <f aca="false">'Product Master'!C4</f>
        <v>Analgesics</v>
      </c>
      <c r="D7" s="25" t="n">
        <f aca="false">INDEX('Product Master'!$H$2:$H$31,MATCH($A7,'Product Master'!$A$2:$A$31,0))</f>
        <v>98</v>
      </c>
      <c r="E7" s="29" t="n">
        <f aca="false">INDEX('Product Master'!$F$2:$F$31,MATCH($A7,'Product Master'!$A$2:$A$31,0))</f>
        <v>0.091</v>
      </c>
      <c r="F7" s="25" t="n">
        <f aca="false">INDEX('Monthly Demand'!$O$2:$O$31,MATCH($A7,'Monthly Demand'!$A$2:$A$31,0))</f>
        <v>4637</v>
      </c>
      <c r="G7" s="25" t="n">
        <f aca="false">INDEX('Monthly Demand'!$P$2:$P$31,MATCH($A7,'Monthly Demand'!$A$2:$A$31,0))</f>
        <v>386.416666666667</v>
      </c>
      <c r="H7" s="25" t="n">
        <f aca="false">INDEX('Monthly Demand'!$Q$2:$Q$31,MATCH($A7,'Monthly Demand'!$A$2:$A$31,0))</f>
        <v>24.7109042302945</v>
      </c>
      <c r="I7" s="30" t="n">
        <f aca="false">INDEX('Product Master'!$I$2:$I$31,MATCH($A7,'Product Master'!$A$2:$A$31,0))</f>
        <v>7</v>
      </c>
      <c r="J7" s="31" t="n">
        <f aca="false">INDEX('Product Master'!$J$2:$J$31,MATCH($A7,'Product Master'!$A$2:$A$31,0))</f>
        <v>112.74</v>
      </c>
      <c r="K7" s="32" t="n">
        <f aca="false">INDEX('Product Master'!$K$2:$K$31,MATCH($A7,'Product Master'!$A$2:$A$31,0))</f>
        <v>0.204</v>
      </c>
      <c r="L7" s="33" t="n">
        <f aca="false">E7*K7</f>
        <v>0.018564</v>
      </c>
      <c r="M7" s="25" t="n">
        <f aca="false">IFERROR(SQRT(2*F7*J7/L7),0)</f>
        <v>7504.75953266861</v>
      </c>
      <c r="N7" s="34" t="n">
        <f aca="false">F7/365</f>
        <v>12.7041095890411</v>
      </c>
      <c r="O7" s="25" t="n">
        <f aca="false">$B$2*H7*SQRT(I7/30)</f>
        <v>19.6952262617112</v>
      </c>
      <c r="P7" s="25" t="n">
        <f aca="false">N7*I7+O7</f>
        <v>108.623993384999</v>
      </c>
      <c r="Q7" s="17" t="n">
        <f aca="false">D7*E7</f>
        <v>8.918</v>
      </c>
      <c r="R7" s="16" t="n">
        <f aca="false">RANK(Q7,$Q$5:$Q$34)</f>
        <v>29</v>
      </c>
      <c r="S7" s="17" t="n">
        <f aca="false">SUMPRODUCT(($R$5:$R$34&lt;=R7)*$Q$5:$Q$34)</f>
        <v>37345.924</v>
      </c>
      <c r="T7" s="32" t="n">
        <f aca="false">S7/SUM($Q$5:$Q$34)</f>
        <v>0.999770415880282</v>
      </c>
      <c r="U7" s="16" t="str">
        <f aca="false">IF(T7&lt;=0.7,"A",IF(T7&lt;=0.9,"B","C"))</f>
        <v>C</v>
      </c>
      <c r="V7" s="16" t="str">
        <f aca="false">IF(D7&lt;P7,"Reorder Now",IF(D7&gt;M7*2,"Overstock","OK"))</f>
        <v>Reorder Now</v>
      </c>
      <c r="W7" s="25" t="n">
        <f aca="false">IF(V7="Reorder Now",ROUND(MAX(M7,INDEX('Product Master'!$L$2:$L$31,MATCH($A7,'Product Master'!$A$2:$A$31,0))),0),0)</f>
        <v>7505</v>
      </c>
    </row>
    <row r="8" customFormat="false" ht="15" hidden="false" customHeight="false" outlineLevel="0" collapsed="false">
      <c r="A8" s="16" t="str">
        <f aca="false">'Product Master'!A5</f>
        <v>PH-004</v>
      </c>
      <c r="B8" s="16" t="str">
        <f aca="false">'Product Master'!B5</f>
        <v>Diclofenac Gel 1%</v>
      </c>
      <c r="C8" s="16" t="str">
        <f aca="false">'Product Master'!C5</f>
        <v>Analgesics</v>
      </c>
      <c r="D8" s="25" t="n">
        <f aca="false">INDEX('Product Master'!$H$2:$H$31,MATCH($A8,'Product Master'!$A$2:$A$31,0))</f>
        <v>9033</v>
      </c>
      <c r="E8" s="29" t="n">
        <f aca="false">INDEX('Product Master'!$F$2:$F$31,MATCH($A8,'Product Master'!$A$2:$A$31,0))</f>
        <v>0.063</v>
      </c>
      <c r="F8" s="25" t="n">
        <f aca="false">INDEX('Monthly Demand'!$O$2:$O$31,MATCH($A8,'Monthly Demand'!$A$2:$A$31,0))</f>
        <v>6767</v>
      </c>
      <c r="G8" s="25" t="n">
        <f aca="false">INDEX('Monthly Demand'!$P$2:$P$31,MATCH($A8,'Monthly Demand'!$A$2:$A$31,0))</f>
        <v>563.916666666667</v>
      </c>
      <c r="H8" s="25" t="n">
        <f aca="false">INDEX('Monthly Demand'!$Q$2:$Q$31,MATCH($A8,'Monthly Demand'!$A$2:$A$31,0))</f>
        <v>42.3630592365423</v>
      </c>
      <c r="I8" s="30" t="n">
        <f aca="false">INDEX('Product Master'!$I$2:$I$31,MATCH($A8,'Product Master'!$A$2:$A$31,0))</f>
        <v>30</v>
      </c>
      <c r="J8" s="31" t="n">
        <f aca="false">INDEX('Product Master'!$J$2:$J$31,MATCH($A8,'Product Master'!$A$2:$A$31,0))</f>
        <v>115.7</v>
      </c>
      <c r="K8" s="32" t="n">
        <f aca="false">INDEX('Product Master'!$K$2:$K$31,MATCH($A8,'Product Master'!$A$2:$A$31,0))</f>
        <v>0.165</v>
      </c>
      <c r="L8" s="33" t="n">
        <f aca="false">E8*K8</f>
        <v>0.010395</v>
      </c>
      <c r="M8" s="25" t="n">
        <f aca="false">IFERROR(SQRT(2*F8*J8/L8),0)</f>
        <v>12273.4743328111</v>
      </c>
      <c r="N8" s="34" t="n">
        <f aca="false">F8/365</f>
        <v>18.5397260273973</v>
      </c>
      <c r="O8" s="25" t="n">
        <f aca="false">$B$2*H8*SQRT(I8/30)</f>
        <v>69.8990477402947</v>
      </c>
      <c r="P8" s="25" t="n">
        <f aca="false">N8*I8+O8</f>
        <v>626.090828562213</v>
      </c>
      <c r="Q8" s="17" t="n">
        <f aca="false">D8*E8</f>
        <v>569.079</v>
      </c>
      <c r="R8" s="16" t="n">
        <f aca="false">RANK(Q8,$Q$5:$Q$34)</f>
        <v>16</v>
      </c>
      <c r="S8" s="17" t="n">
        <f aca="false">SUMPRODUCT(($R$5:$R$34&lt;=R8)*$Q$5:$Q$34)</f>
        <v>34414.353</v>
      </c>
      <c r="T8" s="32" t="n">
        <f aca="false">S8/SUM($Q$5:$Q$34)</f>
        <v>0.921290687868932</v>
      </c>
      <c r="U8" s="16" t="str">
        <f aca="false">IF(T8&lt;=0.7,"A",IF(T8&lt;=0.9,"B","C"))</f>
        <v>C</v>
      </c>
      <c r="V8" s="16" t="str">
        <f aca="false">IF(D8&lt;P8,"Reorder Now",IF(D8&gt;M8*2,"Overstock","OK"))</f>
        <v>OK</v>
      </c>
      <c r="W8" s="25" t="n">
        <f aca="false">IF(V8="Reorder Now",ROUND(MAX(M8,INDEX('Product Master'!$L$2:$L$31,MATCH($A8,'Product Master'!$A$2:$A$31,0))),0),0)</f>
        <v>0</v>
      </c>
    </row>
    <row r="9" customFormat="false" ht="15" hidden="false" customHeight="false" outlineLevel="0" collapsed="false">
      <c r="A9" s="16" t="str">
        <f aca="false">'Product Master'!A6</f>
        <v>PH-005</v>
      </c>
      <c r="B9" s="16" t="str">
        <f aca="false">'Product Master'!B6</f>
        <v>Amoxicillin 500mg Capsules</v>
      </c>
      <c r="C9" s="16" t="str">
        <f aca="false">'Product Master'!C6</f>
        <v>Antibiotics</v>
      </c>
      <c r="D9" s="25" t="n">
        <f aca="false">INDEX('Product Master'!$H$2:$H$31,MATCH($A9,'Product Master'!$A$2:$A$31,0))</f>
        <v>2273</v>
      </c>
      <c r="E9" s="29" t="n">
        <f aca="false">INDEX('Product Master'!$F$2:$F$31,MATCH($A9,'Product Master'!$A$2:$A$31,0))</f>
        <v>0.324</v>
      </c>
      <c r="F9" s="25" t="n">
        <f aca="false">INDEX('Monthly Demand'!$O$2:$O$31,MATCH($A9,'Monthly Demand'!$A$2:$A$31,0))</f>
        <v>2368</v>
      </c>
      <c r="G9" s="25" t="n">
        <f aca="false">INDEX('Monthly Demand'!$P$2:$P$31,MATCH($A9,'Monthly Demand'!$A$2:$A$31,0))</f>
        <v>197.333333333333</v>
      </c>
      <c r="H9" s="25" t="n">
        <f aca="false">INDEX('Monthly Demand'!$Q$2:$Q$31,MATCH($A9,'Monthly Demand'!$A$2:$A$31,0))</f>
        <v>38.455011101128</v>
      </c>
      <c r="I9" s="30" t="n">
        <f aca="false">INDEX('Product Master'!$I$2:$I$31,MATCH($A9,'Product Master'!$A$2:$A$31,0))</f>
        <v>30</v>
      </c>
      <c r="J9" s="31" t="n">
        <f aca="false">INDEX('Product Master'!$J$2:$J$31,MATCH($A9,'Product Master'!$A$2:$A$31,0))</f>
        <v>101.75</v>
      </c>
      <c r="K9" s="32" t="n">
        <f aca="false">INDEX('Product Master'!$K$2:$K$31,MATCH($A9,'Product Master'!$A$2:$A$31,0))</f>
        <v>0.168</v>
      </c>
      <c r="L9" s="33" t="n">
        <f aca="false">E9*K9</f>
        <v>0.054432</v>
      </c>
      <c r="M9" s="25" t="n">
        <f aca="false">IFERROR(SQRT(2*F9*J9/L9),0)</f>
        <v>2975.40377609584</v>
      </c>
      <c r="N9" s="34" t="n">
        <f aca="false">F9/365</f>
        <v>6.48767123287671</v>
      </c>
      <c r="O9" s="25" t="n">
        <f aca="false">$B$2*H9*SQRT(I9/30)</f>
        <v>63.4507683168612</v>
      </c>
      <c r="P9" s="25" t="n">
        <f aca="false">N9*I9+O9</f>
        <v>258.080905303163</v>
      </c>
      <c r="Q9" s="17" t="n">
        <f aca="false">D9*E9</f>
        <v>736.452</v>
      </c>
      <c r="R9" s="16" t="n">
        <f aca="false">RANK(Q9,$Q$5:$Q$34)</f>
        <v>14</v>
      </c>
      <c r="S9" s="17" t="n">
        <f aca="false">SUMPRODUCT(($R$5:$R$34&lt;=R9)*$Q$5:$Q$34)</f>
        <v>33149.634</v>
      </c>
      <c r="T9" s="32" t="n">
        <f aca="false">S9/SUM($Q$5:$Q$34)</f>
        <v>0.88743348190981</v>
      </c>
      <c r="U9" s="16" t="str">
        <f aca="false">IF(T9&lt;=0.7,"A",IF(T9&lt;=0.9,"B","C"))</f>
        <v>B</v>
      </c>
      <c r="V9" s="16" t="str">
        <f aca="false">IF(D9&lt;P9,"Reorder Now",IF(D9&gt;M9*2,"Overstock","OK"))</f>
        <v>OK</v>
      </c>
      <c r="W9" s="25" t="n">
        <f aca="false">IF(V9="Reorder Now",ROUND(MAX(M9,INDEX('Product Master'!$L$2:$L$31,MATCH($A9,'Product Master'!$A$2:$A$31,0))),0),0)</f>
        <v>0</v>
      </c>
    </row>
    <row r="10" customFormat="false" ht="15" hidden="false" customHeight="false" outlineLevel="0" collapsed="false">
      <c r="A10" s="16" t="str">
        <f aca="false">'Product Master'!A7</f>
        <v>PH-006</v>
      </c>
      <c r="B10" s="16" t="str">
        <f aca="false">'Product Master'!B7</f>
        <v>Azithromycin 250mg Tablets</v>
      </c>
      <c r="C10" s="16" t="str">
        <f aca="false">'Product Master'!C7</f>
        <v>Antibiotics</v>
      </c>
      <c r="D10" s="25" t="n">
        <f aca="false">INDEX('Product Master'!$H$2:$H$31,MATCH($A10,'Product Master'!$A$2:$A$31,0))</f>
        <v>10529</v>
      </c>
      <c r="E10" s="29" t="n">
        <f aca="false">INDEX('Product Master'!$F$2:$F$31,MATCH($A10,'Product Master'!$A$2:$A$31,0))</f>
        <v>0.165</v>
      </c>
      <c r="F10" s="25" t="n">
        <f aca="false">INDEX('Monthly Demand'!$O$2:$O$31,MATCH($A10,'Monthly Demand'!$A$2:$A$31,0))</f>
        <v>7037</v>
      </c>
      <c r="G10" s="25" t="n">
        <f aca="false">INDEX('Monthly Demand'!$P$2:$P$31,MATCH($A10,'Monthly Demand'!$A$2:$A$31,0))</f>
        <v>586.416666666667</v>
      </c>
      <c r="H10" s="25" t="n">
        <f aca="false">INDEX('Monthly Demand'!$Q$2:$Q$31,MATCH($A10,'Monthly Demand'!$A$2:$A$31,0))</f>
        <v>110.103635753142</v>
      </c>
      <c r="I10" s="30" t="n">
        <f aca="false">INDEX('Product Master'!$I$2:$I$31,MATCH($A10,'Product Master'!$A$2:$A$31,0))</f>
        <v>21</v>
      </c>
      <c r="J10" s="31" t="n">
        <f aca="false">INDEX('Product Master'!$J$2:$J$31,MATCH($A10,'Product Master'!$A$2:$A$31,0))</f>
        <v>134.69</v>
      </c>
      <c r="K10" s="32" t="n">
        <f aca="false">INDEX('Product Master'!$K$2:$K$31,MATCH($A10,'Product Master'!$A$2:$A$31,0))</f>
        <v>0.151</v>
      </c>
      <c r="L10" s="33" t="n">
        <f aca="false">E10*K10</f>
        <v>0.024915</v>
      </c>
      <c r="M10" s="25" t="n">
        <f aca="false">IFERROR(SQRT(2*F10*J10/L10),0)</f>
        <v>8722.60094286727</v>
      </c>
      <c r="N10" s="34" t="n">
        <f aca="false">F10/365</f>
        <v>19.2794520547945</v>
      </c>
      <c r="O10" s="25" t="n">
        <f aca="false">$B$2*H10*SQRT(I10/30)</f>
        <v>151.996862837691</v>
      </c>
      <c r="P10" s="25" t="n">
        <f aca="false">N10*I10+O10</f>
        <v>556.865355988377</v>
      </c>
      <c r="Q10" s="17" t="n">
        <f aca="false">D10*E10</f>
        <v>1737.285</v>
      </c>
      <c r="R10" s="16" t="n">
        <f aca="false">RANK(Q10,$Q$5:$Q$34)</f>
        <v>7</v>
      </c>
      <c r="S10" s="17" t="n">
        <f aca="false">SUMPRODUCT(($R$5:$R$34&lt;=R10)*$Q$5:$Q$34)</f>
        <v>26144.068</v>
      </c>
      <c r="T10" s="32" t="n">
        <f aca="false">S10/SUM($Q$5:$Q$34)</f>
        <v>0.699890722670629</v>
      </c>
      <c r="U10" s="16" t="str">
        <f aca="false">IF(T10&lt;=0.7,"A",IF(T10&lt;=0.9,"B","C"))</f>
        <v>A</v>
      </c>
      <c r="V10" s="16" t="str">
        <f aca="false">IF(D10&lt;P10,"Reorder Now",IF(D10&gt;M10*2,"Overstock","OK"))</f>
        <v>OK</v>
      </c>
      <c r="W10" s="25" t="n">
        <f aca="false">IF(V10="Reorder Now",ROUND(MAX(M10,INDEX('Product Master'!$L$2:$L$31,MATCH($A10,'Product Master'!$A$2:$A$31,0))),0),0)</f>
        <v>0</v>
      </c>
    </row>
    <row r="11" customFormat="false" ht="15" hidden="false" customHeight="false" outlineLevel="0" collapsed="false">
      <c r="A11" s="16" t="str">
        <f aca="false">'Product Master'!A8</f>
        <v>PH-007</v>
      </c>
      <c r="B11" s="16" t="str">
        <f aca="false">'Product Master'!B8</f>
        <v>Ciprofloxacin 500mg Tablets</v>
      </c>
      <c r="C11" s="16" t="str">
        <f aca="false">'Product Master'!C8</f>
        <v>Antibiotics</v>
      </c>
      <c r="D11" s="25" t="n">
        <f aca="false">INDEX('Product Master'!$H$2:$H$31,MATCH($A11,'Product Master'!$A$2:$A$31,0))</f>
        <v>4791</v>
      </c>
      <c r="E11" s="29" t="n">
        <f aca="false">INDEX('Product Master'!$F$2:$F$31,MATCH($A11,'Product Master'!$A$2:$A$31,0))</f>
        <v>0.324</v>
      </c>
      <c r="F11" s="25" t="n">
        <f aca="false">INDEX('Monthly Demand'!$O$2:$O$31,MATCH($A11,'Monthly Demand'!$A$2:$A$31,0))</f>
        <v>2508</v>
      </c>
      <c r="G11" s="25" t="n">
        <f aca="false">INDEX('Monthly Demand'!$P$2:$P$31,MATCH($A11,'Monthly Demand'!$A$2:$A$31,0))</f>
        <v>209</v>
      </c>
      <c r="H11" s="25" t="n">
        <f aca="false">INDEX('Monthly Demand'!$Q$2:$Q$31,MATCH($A11,'Monthly Demand'!$A$2:$A$31,0))</f>
        <v>43.911067149203</v>
      </c>
      <c r="I11" s="30" t="n">
        <f aca="false">INDEX('Product Master'!$I$2:$I$31,MATCH($A11,'Product Master'!$A$2:$A$31,0))</f>
        <v>21</v>
      </c>
      <c r="J11" s="31" t="n">
        <f aca="false">INDEX('Product Master'!$J$2:$J$31,MATCH($A11,'Product Master'!$A$2:$A$31,0))</f>
        <v>106.99</v>
      </c>
      <c r="K11" s="32" t="n">
        <f aca="false">INDEX('Product Master'!$K$2:$K$31,MATCH($A11,'Product Master'!$A$2:$A$31,0))</f>
        <v>0.161</v>
      </c>
      <c r="L11" s="33" t="n">
        <f aca="false">E11*K11</f>
        <v>0.052164</v>
      </c>
      <c r="M11" s="25" t="n">
        <f aca="false">IFERROR(SQRT(2*F11*J11/L11),0)</f>
        <v>3207.48707166994</v>
      </c>
      <c r="N11" s="34" t="n">
        <f aca="false">F11/365</f>
        <v>6.87123287671233</v>
      </c>
      <c r="O11" s="25" t="n">
        <f aca="false">$B$2*H11*SQRT(I11/30)</f>
        <v>60.6187471002164</v>
      </c>
      <c r="P11" s="25" t="n">
        <f aca="false">N11*I11+O11</f>
        <v>204.914637511175</v>
      </c>
      <c r="Q11" s="17" t="n">
        <f aca="false">D11*E11</f>
        <v>1552.284</v>
      </c>
      <c r="R11" s="16" t="n">
        <f aca="false">RANK(Q11,$Q$5:$Q$34)</f>
        <v>8</v>
      </c>
      <c r="S11" s="17" t="n">
        <f aca="false">SUMPRODUCT(($R$5:$R$34&lt;=R11)*$Q$5:$Q$34)</f>
        <v>27696.352</v>
      </c>
      <c r="T11" s="32" t="n">
        <f aca="false">S11/SUM($Q$5:$Q$34)</f>
        <v>0.741446197914575</v>
      </c>
      <c r="U11" s="16" t="str">
        <f aca="false">IF(T11&lt;=0.7,"A",IF(T11&lt;=0.9,"B","C"))</f>
        <v>B</v>
      </c>
      <c r="V11" s="16" t="str">
        <f aca="false">IF(D11&lt;P11,"Reorder Now",IF(D11&gt;M11*2,"Overstock","OK"))</f>
        <v>OK</v>
      </c>
      <c r="W11" s="25" t="n">
        <f aca="false">IF(V11="Reorder Now",ROUND(MAX(M11,INDEX('Product Master'!$L$2:$L$31,MATCH($A11,'Product Master'!$A$2:$A$31,0))),0),0)</f>
        <v>0</v>
      </c>
    </row>
    <row r="12" customFormat="false" ht="15" hidden="false" customHeight="false" outlineLevel="0" collapsed="false">
      <c r="A12" s="16" t="str">
        <f aca="false">'Product Master'!A9</f>
        <v>PH-008</v>
      </c>
      <c r="B12" s="16" t="str">
        <f aca="false">'Product Master'!B9</f>
        <v>Doxycycline 100mg Capsules</v>
      </c>
      <c r="C12" s="16" t="str">
        <f aca="false">'Product Master'!C9</f>
        <v>Antibiotics</v>
      </c>
      <c r="D12" s="25" t="n">
        <f aca="false">INDEX('Product Master'!$H$2:$H$31,MATCH($A12,'Product Master'!$A$2:$A$31,0))</f>
        <v>6196</v>
      </c>
      <c r="E12" s="29" t="n">
        <f aca="false">INDEX('Product Master'!$F$2:$F$31,MATCH($A12,'Product Master'!$A$2:$A$31,0))</f>
        <v>0.334</v>
      </c>
      <c r="F12" s="25" t="n">
        <f aca="false">INDEX('Monthly Demand'!$O$2:$O$31,MATCH($A12,'Monthly Demand'!$A$2:$A$31,0))</f>
        <v>3395</v>
      </c>
      <c r="G12" s="25" t="n">
        <f aca="false">INDEX('Monthly Demand'!$P$2:$P$31,MATCH($A12,'Monthly Demand'!$A$2:$A$31,0))</f>
        <v>282.916666666667</v>
      </c>
      <c r="H12" s="25" t="n">
        <f aca="false">INDEX('Monthly Demand'!$Q$2:$Q$31,MATCH($A12,'Monthly Demand'!$A$2:$A$31,0))</f>
        <v>49.0518433224821</v>
      </c>
      <c r="I12" s="30" t="n">
        <f aca="false">INDEX('Product Master'!$I$2:$I$31,MATCH($A12,'Product Master'!$A$2:$A$31,0))</f>
        <v>21</v>
      </c>
      <c r="J12" s="31" t="n">
        <f aca="false">INDEX('Product Master'!$J$2:$J$31,MATCH($A12,'Product Master'!$A$2:$A$31,0))</f>
        <v>124.24</v>
      </c>
      <c r="K12" s="32" t="n">
        <f aca="false">INDEX('Product Master'!$K$2:$K$31,MATCH($A12,'Product Master'!$A$2:$A$31,0))</f>
        <v>0.159</v>
      </c>
      <c r="L12" s="33" t="n">
        <f aca="false">E12*K12</f>
        <v>0.053106</v>
      </c>
      <c r="M12" s="25" t="n">
        <f aca="false">IFERROR(SQRT(2*F12*J12/L12),0)</f>
        <v>3985.60094288284</v>
      </c>
      <c r="N12" s="34" t="n">
        <f aca="false">F12/365</f>
        <v>9.3013698630137</v>
      </c>
      <c r="O12" s="25" t="n">
        <f aca="false">$B$2*H12*SQRT(I12/30)</f>
        <v>67.7155322839598</v>
      </c>
      <c r="P12" s="25" t="n">
        <f aca="false">N12*I12+O12</f>
        <v>263.044299407248</v>
      </c>
      <c r="Q12" s="17" t="n">
        <f aca="false">D12*E12</f>
        <v>2069.464</v>
      </c>
      <c r="R12" s="16" t="n">
        <f aca="false">RANK(Q12,$Q$5:$Q$34)</f>
        <v>6</v>
      </c>
      <c r="S12" s="17" t="n">
        <f aca="false">SUMPRODUCT(($R$5:$R$34&lt;=R12)*$Q$5:$Q$34)</f>
        <v>24406.783</v>
      </c>
      <c r="T12" s="32" t="n">
        <f aca="false">S12/SUM($Q$5:$Q$34)</f>
        <v>0.653382671431822</v>
      </c>
      <c r="U12" s="16" t="str">
        <f aca="false">IF(T12&lt;=0.7,"A",IF(T12&lt;=0.9,"B","C"))</f>
        <v>A</v>
      </c>
      <c r="V12" s="16" t="str">
        <f aca="false">IF(D12&lt;P12,"Reorder Now",IF(D12&gt;M12*2,"Overstock","OK"))</f>
        <v>OK</v>
      </c>
      <c r="W12" s="25" t="n">
        <f aca="false">IF(V12="Reorder Now",ROUND(MAX(M12,INDEX('Product Master'!$L$2:$L$31,MATCH($A12,'Product Master'!$A$2:$A$31,0))),0),0)</f>
        <v>0</v>
      </c>
    </row>
    <row r="13" customFormat="false" ht="15" hidden="false" customHeight="false" outlineLevel="0" collapsed="false">
      <c r="A13" s="16" t="str">
        <f aca="false">'Product Master'!A10</f>
        <v>PH-009</v>
      </c>
      <c r="B13" s="16" t="str">
        <f aca="false">'Product Master'!B10</f>
        <v>Metronidazole 400mg Tablets</v>
      </c>
      <c r="C13" s="16" t="str">
        <f aca="false">'Product Master'!C10</f>
        <v>Antibiotics</v>
      </c>
      <c r="D13" s="25" t="n">
        <f aca="false">INDEX('Product Master'!$H$2:$H$31,MATCH($A13,'Product Master'!$A$2:$A$31,0))</f>
        <v>66</v>
      </c>
      <c r="E13" s="29" t="n">
        <f aca="false">INDEX('Product Master'!$F$2:$F$31,MATCH($A13,'Product Master'!$A$2:$A$31,0))</f>
        <v>0.32</v>
      </c>
      <c r="F13" s="25" t="n">
        <f aca="false">INDEX('Monthly Demand'!$O$2:$O$31,MATCH($A13,'Monthly Demand'!$A$2:$A$31,0))</f>
        <v>2244</v>
      </c>
      <c r="G13" s="25" t="n">
        <f aca="false">INDEX('Monthly Demand'!$P$2:$P$31,MATCH($A13,'Monthly Demand'!$A$2:$A$31,0))</f>
        <v>187</v>
      </c>
      <c r="H13" s="25" t="n">
        <f aca="false">INDEX('Monthly Demand'!$Q$2:$Q$31,MATCH($A13,'Monthly Demand'!$A$2:$A$31,0))</f>
        <v>36.2215405525497</v>
      </c>
      <c r="I13" s="30" t="n">
        <f aca="false">INDEX('Product Master'!$I$2:$I$31,MATCH($A13,'Product Master'!$A$2:$A$31,0))</f>
        <v>14</v>
      </c>
      <c r="J13" s="31" t="n">
        <f aca="false">INDEX('Product Master'!$J$2:$J$31,MATCH($A13,'Product Master'!$A$2:$A$31,0))</f>
        <v>42.31</v>
      </c>
      <c r="K13" s="32" t="n">
        <f aca="false">INDEX('Product Master'!$K$2:$K$31,MATCH($A13,'Product Master'!$A$2:$A$31,0))</f>
        <v>0.189</v>
      </c>
      <c r="L13" s="33" t="n">
        <f aca="false">E13*K13</f>
        <v>0.06048</v>
      </c>
      <c r="M13" s="25" t="n">
        <f aca="false">IFERROR(SQRT(2*F13*J13/L13),0)</f>
        <v>1771.91157649603</v>
      </c>
      <c r="N13" s="34" t="n">
        <f aca="false">F13/365</f>
        <v>6.14794520547945</v>
      </c>
      <c r="O13" s="25" t="n">
        <f aca="false">$B$2*H13*SQRT(I13/30)</f>
        <v>40.8276376980104</v>
      </c>
      <c r="P13" s="25" t="n">
        <f aca="false">N13*I13+O13</f>
        <v>126.898870574723</v>
      </c>
      <c r="Q13" s="17" t="n">
        <f aca="false">D13*E13</f>
        <v>21.12</v>
      </c>
      <c r="R13" s="16" t="n">
        <f aca="false">RANK(Q13,$Q$5:$Q$34)</f>
        <v>28</v>
      </c>
      <c r="S13" s="17" t="n">
        <f aca="false">SUMPRODUCT(($R$5:$R$34&lt;=R13)*$Q$5:$Q$34)</f>
        <v>37337.006</v>
      </c>
      <c r="T13" s="32" t="n">
        <f aca="false">S13/SUM($Q$5:$Q$34)</f>
        <v>0.999531676237134</v>
      </c>
      <c r="U13" s="16" t="str">
        <f aca="false">IF(T13&lt;=0.7,"A",IF(T13&lt;=0.9,"B","C"))</f>
        <v>C</v>
      </c>
      <c r="V13" s="16" t="str">
        <f aca="false">IF(D13&lt;P13,"Reorder Now",IF(D13&gt;M13*2,"Overstock","OK"))</f>
        <v>Reorder Now</v>
      </c>
      <c r="W13" s="25" t="n">
        <f aca="false">IF(V13="Reorder Now",ROUND(MAX(M13,INDEX('Product Master'!$L$2:$L$31,MATCH($A13,'Product Master'!$A$2:$A$31,0))),0),0)</f>
        <v>1772</v>
      </c>
    </row>
    <row r="14" customFormat="false" ht="15" hidden="false" customHeight="false" outlineLevel="0" collapsed="false">
      <c r="A14" s="16" t="str">
        <f aca="false">'Product Master'!A11</f>
        <v>PH-010</v>
      </c>
      <c r="B14" s="16" t="str">
        <f aca="false">'Product Master'!B11</f>
        <v>Metformin 500mg Tablets</v>
      </c>
      <c r="C14" s="16" t="str">
        <f aca="false">'Product Master'!C11</f>
        <v>Antidiabetics</v>
      </c>
      <c r="D14" s="25" t="n">
        <f aca="false">INDEX('Product Master'!$H$2:$H$31,MATCH($A14,'Product Master'!$A$2:$A$31,0))</f>
        <v>13270</v>
      </c>
      <c r="E14" s="29" t="n">
        <f aca="false">INDEX('Product Master'!$F$2:$F$31,MATCH($A14,'Product Master'!$A$2:$A$31,0))</f>
        <v>0.099</v>
      </c>
      <c r="F14" s="25" t="n">
        <f aca="false">INDEX('Monthly Demand'!$O$2:$O$31,MATCH($A14,'Monthly Demand'!$A$2:$A$31,0))</f>
        <v>6855</v>
      </c>
      <c r="G14" s="25" t="n">
        <f aca="false">INDEX('Monthly Demand'!$P$2:$P$31,MATCH($A14,'Monthly Demand'!$A$2:$A$31,0))</f>
        <v>571.25</v>
      </c>
      <c r="H14" s="25" t="n">
        <f aca="false">INDEX('Monthly Demand'!$Q$2:$Q$31,MATCH($A14,'Monthly Demand'!$A$2:$A$31,0))</f>
        <v>37.3317437432153</v>
      </c>
      <c r="I14" s="30" t="n">
        <f aca="false">INDEX('Product Master'!$I$2:$I$31,MATCH($A14,'Product Master'!$A$2:$A$31,0))</f>
        <v>10</v>
      </c>
      <c r="J14" s="31" t="n">
        <f aca="false">INDEX('Product Master'!$J$2:$J$31,MATCH($A14,'Product Master'!$A$2:$A$31,0))</f>
        <v>50.38</v>
      </c>
      <c r="K14" s="32" t="n">
        <f aca="false">INDEX('Product Master'!$K$2:$K$31,MATCH($A14,'Product Master'!$A$2:$A$31,0))</f>
        <v>0.196</v>
      </c>
      <c r="L14" s="33" t="n">
        <f aca="false">E14*K14</f>
        <v>0.019404</v>
      </c>
      <c r="M14" s="25" t="n">
        <f aca="false">IFERROR(SQRT(2*F14*J14/L14),0)</f>
        <v>5966.26000970469</v>
      </c>
      <c r="N14" s="34" t="n">
        <f aca="false">F14/365</f>
        <v>18.7808219178082</v>
      </c>
      <c r="O14" s="25" t="n">
        <f aca="false">$B$2*H14*SQRT(I14/30)</f>
        <v>35.5632622941147</v>
      </c>
      <c r="P14" s="25" t="n">
        <f aca="false">N14*I14+O14</f>
        <v>223.371481472197</v>
      </c>
      <c r="Q14" s="17" t="n">
        <f aca="false">D14*E14</f>
        <v>1313.73</v>
      </c>
      <c r="R14" s="16" t="n">
        <f aca="false">RANK(Q14,$Q$5:$Q$34)</f>
        <v>9</v>
      </c>
      <c r="S14" s="17" t="n">
        <f aca="false">SUMPRODUCT(($R$5:$R$34&lt;=R14)*$Q$5:$Q$34)</f>
        <v>29010.082</v>
      </c>
      <c r="T14" s="32" t="n">
        <f aca="false">S14/SUM($Q$5:$Q$34)</f>
        <v>0.776615454630634</v>
      </c>
      <c r="U14" s="16" t="str">
        <f aca="false">IF(T14&lt;=0.7,"A",IF(T14&lt;=0.9,"B","C"))</f>
        <v>B</v>
      </c>
      <c r="V14" s="16" t="str">
        <f aca="false">IF(D14&lt;P14,"Reorder Now",IF(D14&gt;M14*2,"Overstock","OK"))</f>
        <v>Overstock</v>
      </c>
      <c r="W14" s="25" t="n">
        <f aca="false">IF(V14="Reorder Now",ROUND(MAX(M14,INDEX('Product Master'!$L$2:$L$31,MATCH($A14,'Product Master'!$A$2:$A$31,0))),0),0)</f>
        <v>0</v>
      </c>
    </row>
    <row r="15" customFormat="false" ht="15" hidden="false" customHeight="false" outlineLevel="0" collapsed="false">
      <c r="A15" s="16" t="str">
        <f aca="false">'Product Master'!A12</f>
        <v>PH-011</v>
      </c>
      <c r="B15" s="16" t="str">
        <f aca="false">'Product Master'!B12</f>
        <v>Insulin Glargine Injection</v>
      </c>
      <c r="C15" s="16" t="str">
        <f aca="false">'Product Master'!C12</f>
        <v>Antidiabetics</v>
      </c>
      <c r="D15" s="25" t="n">
        <f aca="false">INDEX('Product Master'!$H$2:$H$31,MATCH($A15,'Product Master'!$A$2:$A$31,0))</f>
        <v>378</v>
      </c>
      <c r="E15" s="29" t="n">
        <f aca="false">INDEX('Product Master'!$F$2:$F$31,MATCH($A15,'Product Master'!$A$2:$A$31,0))</f>
        <v>17.38</v>
      </c>
      <c r="F15" s="25" t="n">
        <f aca="false">INDEX('Monthly Demand'!$O$2:$O$31,MATCH($A15,'Monthly Demand'!$A$2:$A$31,0))</f>
        <v>185</v>
      </c>
      <c r="G15" s="25" t="n">
        <f aca="false">INDEX('Monthly Demand'!$P$2:$P$31,MATCH($A15,'Monthly Demand'!$A$2:$A$31,0))</f>
        <v>15.4166666666667</v>
      </c>
      <c r="H15" s="25" t="n">
        <f aca="false">INDEX('Monthly Demand'!$Q$2:$Q$31,MATCH($A15,'Monthly Demand'!$A$2:$A$31,0))</f>
        <v>1.24011240937215</v>
      </c>
      <c r="I15" s="30" t="n">
        <f aca="false">INDEX('Product Master'!$I$2:$I$31,MATCH($A15,'Product Master'!$A$2:$A$31,0))</f>
        <v>30</v>
      </c>
      <c r="J15" s="31" t="n">
        <f aca="false">INDEX('Product Master'!$J$2:$J$31,MATCH($A15,'Product Master'!$A$2:$A$31,0))</f>
        <v>268.63</v>
      </c>
      <c r="K15" s="32" t="n">
        <f aca="false">INDEX('Product Master'!$K$2:$K$31,MATCH($A15,'Product Master'!$A$2:$A$31,0))</f>
        <v>0.309</v>
      </c>
      <c r="L15" s="33" t="n">
        <f aca="false">E15*K15</f>
        <v>5.37042</v>
      </c>
      <c r="M15" s="25" t="n">
        <f aca="false">IFERROR(SQRT(2*F15*J15/L15),0)</f>
        <v>136.042308326264</v>
      </c>
      <c r="N15" s="34" t="n">
        <f aca="false">F15/365</f>
        <v>0.506849315068493</v>
      </c>
      <c r="O15" s="25" t="n">
        <f aca="false">$B$2*H15*SQRT(I15/30)</f>
        <v>2.04618547546404</v>
      </c>
      <c r="P15" s="25" t="n">
        <f aca="false">N15*I15+O15</f>
        <v>17.2516649275188</v>
      </c>
      <c r="Q15" s="17" t="n">
        <f aca="false">D15*E15</f>
        <v>6569.64</v>
      </c>
      <c r="R15" s="16" t="n">
        <f aca="false">RANK(Q15,$Q$5:$Q$34)</f>
        <v>2</v>
      </c>
      <c r="S15" s="17" t="n">
        <f aca="false">SUMPRODUCT(($R$5:$R$34&lt;=R15)*$Q$5:$Q$34)</f>
        <v>13946.884</v>
      </c>
      <c r="T15" s="32" t="n">
        <f aca="false">S15/SUM($Q$5:$Q$34)</f>
        <v>0.373365565059096</v>
      </c>
      <c r="U15" s="16" t="str">
        <f aca="false">IF(T15&lt;=0.7,"A",IF(T15&lt;=0.9,"B","C"))</f>
        <v>A</v>
      </c>
      <c r="V15" s="16" t="str">
        <f aca="false">IF(D15&lt;P15,"Reorder Now",IF(D15&gt;M15*2,"Overstock","OK"))</f>
        <v>Overstock</v>
      </c>
      <c r="W15" s="25" t="n">
        <f aca="false">IF(V15="Reorder Now",ROUND(MAX(M15,INDEX('Product Master'!$L$2:$L$31,MATCH($A15,'Product Master'!$A$2:$A$31,0))),0),0)</f>
        <v>0</v>
      </c>
    </row>
    <row r="16" customFormat="false" ht="15" hidden="false" customHeight="false" outlineLevel="0" collapsed="false">
      <c r="A16" s="16" t="str">
        <f aca="false">'Product Master'!A13</f>
        <v>PH-012</v>
      </c>
      <c r="B16" s="16" t="str">
        <f aca="false">'Product Master'!B13</f>
        <v>Glimepiride 2mg Tablets</v>
      </c>
      <c r="C16" s="16" t="str">
        <f aca="false">'Product Master'!C13</f>
        <v>Antidiabetics</v>
      </c>
      <c r="D16" s="25" t="n">
        <f aca="false">INDEX('Product Master'!$H$2:$H$31,MATCH($A16,'Product Master'!$A$2:$A$31,0))</f>
        <v>8068</v>
      </c>
      <c r="E16" s="29" t="n">
        <f aca="false">INDEX('Product Master'!$F$2:$F$31,MATCH($A16,'Product Master'!$A$2:$A$31,0))</f>
        <v>0.03</v>
      </c>
      <c r="F16" s="25" t="n">
        <f aca="false">INDEX('Monthly Demand'!$O$2:$O$31,MATCH($A16,'Monthly Demand'!$A$2:$A$31,0))</f>
        <v>6553</v>
      </c>
      <c r="G16" s="25" t="n">
        <f aca="false">INDEX('Monthly Demand'!$P$2:$P$31,MATCH($A16,'Monthly Demand'!$A$2:$A$31,0))</f>
        <v>546.083333333333</v>
      </c>
      <c r="H16" s="25" t="n">
        <f aca="false">INDEX('Monthly Demand'!$Q$2:$Q$31,MATCH($A16,'Monthly Demand'!$A$2:$A$31,0))</f>
        <v>38.7754803811362</v>
      </c>
      <c r="I16" s="30" t="n">
        <f aca="false">INDEX('Product Master'!$I$2:$I$31,MATCH($A16,'Product Master'!$A$2:$A$31,0))</f>
        <v>30</v>
      </c>
      <c r="J16" s="31" t="n">
        <f aca="false">INDEX('Product Master'!$J$2:$J$31,MATCH($A16,'Product Master'!$A$2:$A$31,0))</f>
        <v>145.3</v>
      </c>
      <c r="K16" s="32" t="n">
        <f aca="false">INDEX('Product Master'!$K$2:$K$31,MATCH($A16,'Product Master'!$A$2:$A$31,0))</f>
        <v>0.22</v>
      </c>
      <c r="L16" s="33" t="n">
        <f aca="false">E16*K16</f>
        <v>0.0066</v>
      </c>
      <c r="M16" s="25" t="n">
        <f aca="false">IFERROR(SQRT(2*F16*J16/L16),0)</f>
        <v>16986.187793545</v>
      </c>
      <c r="N16" s="34" t="n">
        <f aca="false">F16/365</f>
        <v>17.9534246575342</v>
      </c>
      <c r="O16" s="25" t="n">
        <f aca="false">$B$2*H16*SQRT(I16/30)</f>
        <v>63.9795426288747</v>
      </c>
      <c r="P16" s="25" t="n">
        <f aca="false">N16*I16+O16</f>
        <v>602.582282354902</v>
      </c>
      <c r="Q16" s="17" t="n">
        <f aca="false">D16*E16</f>
        <v>242.04</v>
      </c>
      <c r="R16" s="16" t="n">
        <f aca="false">RANK(Q16,$Q$5:$Q$34)</f>
        <v>23</v>
      </c>
      <c r="S16" s="17" t="n">
        <f aca="false">SUMPRODUCT(($R$5:$R$34&lt;=R16)*$Q$5:$Q$34)</f>
        <v>36767.023</v>
      </c>
      <c r="T16" s="32" t="n">
        <f aca="false">S16/SUM($Q$5:$Q$34)</f>
        <v>0.984272925618065</v>
      </c>
      <c r="U16" s="16" t="str">
        <f aca="false">IF(T16&lt;=0.7,"A",IF(T16&lt;=0.9,"B","C"))</f>
        <v>C</v>
      </c>
      <c r="V16" s="16" t="str">
        <f aca="false">IF(D16&lt;P16,"Reorder Now",IF(D16&gt;M16*2,"Overstock","OK"))</f>
        <v>OK</v>
      </c>
      <c r="W16" s="25" t="n">
        <f aca="false">IF(V16="Reorder Now",ROUND(MAX(M16,INDEX('Product Master'!$L$2:$L$31,MATCH($A16,'Product Master'!$A$2:$A$31,0))),0),0)</f>
        <v>0</v>
      </c>
    </row>
    <row r="17" customFormat="false" ht="15" hidden="false" customHeight="false" outlineLevel="0" collapsed="false">
      <c r="A17" s="16" t="str">
        <f aca="false">'Product Master'!A14</f>
        <v>PH-013</v>
      </c>
      <c r="B17" s="16" t="str">
        <f aca="false">'Product Master'!B14</f>
        <v>Amlodipine 5mg Tablets</v>
      </c>
      <c r="C17" s="16" t="str">
        <f aca="false">'Product Master'!C14</f>
        <v>Antihypertensives</v>
      </c>
      <c r="D17" s="25" t="n">
        <f aca="false">INDEX('Product Master'!$H$2:$H$31,MATCH($A17,'Product Master'!$A$2:$A$31,0))</f>
        <v>4051</v>
      </c>
      <c r="E17" s="29" t="n">
        <f aca="false">INDEX('Product Master'!$F$2:$F$31,MATCH($A17,'Product Master'!$A$2:$A$31,0))</f>
        <v>0.057</v>
      </c>
      <c r="F17" s="25" t="n">
        <f aca="false">INDEX('Monthly Demand'!$O$2:$O$31,MATCH($A17,'Monthly Demand'!$A$2:$A$31,0))</f>
        <v>4455</v>
      </c>
      <c r="G17" s="25" t="n">
        <f aca="false">INDEX('Monthly Demand'!$P$2:$P$31,MATCH($A17,'Monthly Demand'!$A$2:$A$31,0))</f>
        <v>371.25</v>
      </c>
      <c r="H17" s="25" t="n">
        <f aca="false">INDEX('Monthly Demand'!$Q$2:$Q$31,MATCH($A17,'Monthly Demand'!$A$2:$A$31,0))</f>
        <v>24.2266757559063</v>
      </c>
      <c r="I17" s="30" t="n">
        <f aca="false">INDEX('Product Master'!$I$2:$I$31,MATCH($A17,'Product Master'!$A$2:$A$31,0))</f>
        <v>7</v>
      </c>
      <c r="J17" s="31" t="n">
        <f aca="false">INDEX('Product Master'!$J$2:$J$31,MATCH($A17,'Product Master'!$A$2:$A$31,0))</f>
        <v>114.27</v>
      </c>
      <c r="K17" s="32" t="n">
        <f aca="false">INDEX('Product Master'!$K$2:$K$31,MATCH($A17,'Product Master'!$A$2:$A$31,0))</f>
        <v>0.166</v>
      </c>
      <c r="L17" s="33" t="n">
        <f aca="false">E17*K17</f>
        <v>0.009462</v>
      </c>
      <c r="M17" s="25" t="n">
        <f aca="false">IFERROR(SQRT(2*F17*J17/L17),0)</f>
        <v>10373.2177343196</v>
      </c>
      <c r="N17" s="34" t="n">
        <f aca="false">F17/365</f>
        <v>12.2054794520548</v>
      </c>
      <c r="O17" s="25" t="n">
        <f aca="false">$B$2*H17*SQRT(I17/30)</f>
        <v>19.3092837127637</v>
      </c>
      <c r="P17" s="25" t="n">
        <f aca="false">N17*I17+O17</f>
        <v>104.747639877147</v>
      </c>
      <c r="Q17" s="17" t="n">
        <f aca="false">D17*E17</f>
        <v>230.907</v>
      </c>
      <c r="R17" s="16" t="n">
        <f aca="false">RANK(Q17,$Q$5:$Q$34)</f>
        <v>24</v>
      </c>
      <c r="S17" s="17" t="n">
        <f aca="false">SUMPRODUCT(($R$5:$R$34&lt;=R17)*$Q$5:$Q$34)</f>
        <v>36997.93</v>
      </c>
      <c r="T17" s="32" t="n">
        <f aca="false">S17/SUM($Q$5:$Q$34)</f>
        <v>0.990454429854502</v>
      </c>
      <c r="U17" s="16" t="str">
        <f aca="false">IF(T17&lt;=0.7,"A",IF(T17&lt;=0.9,"B","C"))</f>
        <v>C</v>
      </c>
      <c r="V17" s="16" t="str">
        <f aca="false">IF(D17&lt;P17,"Reorder Now",IF(D17&gt;M17*2,"Overstock","OK"))</f>
        <v>OK</v>
      </c>
      <c r="W17" s="25" t="n">
        <f aca="false">IF(V17="Reorder Now",ROUND(MAX(M17,INDEX('Product Master'!$L$2:$L$31,MATCH($A17,'Product Master'!$A$2:$A$31,0))),0),0)</f>
        <v>0</v>
      </c>
    </row>
    <row r="18" customFormat="false" ht="15" hidden="false" customHeight="false" outlineLevel="0" collapsed="false">
      <c r="A18" s="16" t="str">
        <f aca="false">'Product Master'!A15</f>
        <v>PH-014</v>
      </c>
      <c r="B18" s="16" t="str">
        <f aca="false">'Product Master'!B15</f>
        <v>Losartan 50mg Tablets</v>
      </c>
      <c r="C18" s="16" t="str">
        <f aca="false">'Product Master'!C15</f>
        <v>Antihypertensives</v>
      </c>
      <c r="D18" s="25" t="n">
        <f aca="false">INDEX('Product Master'!$H$2:$H$31,MATCH($A18,'Product Master'!$A$2:$A$31,0))</f>
        <v>128</v>
      </c>
      <c r="E18" s="29" t="n">
        <f aca="false">INDEX('Product Master'!$F$2:$F$31,MATCH($A18,'Product Master'!$A$2:$A$31,0))</f>
        <v>0.067</v>
      </c>
      <c r="F18" s="25" t="n">
        <f aca="false">INDEX('Monthly Demand'!$O$2:$O$31,MATCH($A18,'Monthly Demand'!$A$2:$A$31,0))</f>
        <v>6868</v>
      </c>
      <c r="G18" s="25" t="n">
        <f aca="false">INDEX('Monthly Demand'!$P$2:$P$31,MATCH($A18,'Monthly Demand'!$A$2:$A$31,0))</f>
        <v>572.333333333333</v>
      </c>
      <c r="H18" s="25" t="n">
        <f aca="false">INDEX('Monthly Demand'!$Q$2:$Q$31,MATCH($A18,'Monthly Demand'!$A$2:$A$31,0))</f>
        <v>45.8839114868527</v>
      </c>
      <c r="I18" s="30" t="n">
        <f aca="false">INDEX('Product Master'!$I$2:$I$31,MATCH($A18,'Product Master'!$A$2:$A$31,0))</f>
        <v>7</v>
      </c>
      <c r="J18" s="31" t="n">
        <f aca="false">INDEX('Product Master'!$J$2:$J$31,MATCH($A18,'Product Master'!$A$2:$A$31,0))</f>
        <v>41.02</v>
      </c>
      <c r="K18" s="32" t="n">
        <f aca="false">INDEX('Product Master'!$K$2:$K$31,MATCH($A18,'Product Master'!$A$2:$A$31,0))</f>
        <v>0.193</v>
      </c>
      <c r="L18" s="33" t="n">
        <f aca="false">E18*K18</f>
        <v>0.012931</v>
      </c>
      <c r="M18" s="25" t="n">
        <f aca="false">IFERROR(SQRT(2*F18*J18/L18),0)</f>
        <v>6601.03314209496</v>
      </c>
      <c r="N18" s="34" t="n">
        <f aca="false">F18/365</f>
        <v>18.8164383561644</v>
      </c>
      <c r="O18" s="25" t="n">
        <f aca="false">$B$2*H18*SQRT(I18/30)</f>
        <v>36.5706576369635</v>
      </c>
      <c r="P18" s="25" t="n">
        <f aca="false">N18*I18+O18</f>
        <v>168.285726130114</v>
      </c>
      <c r="Q18" s="17" t="n">
        <f aca="false">D18*E18</f>
        <v>8.576</v>
      </c>
      <c r="R18" s="16" t="n">
        <f aca="false">RANK(Q18,$Q$5:$Q$34)</f>
        <v>30</v>
      </c>
      <c r="S18" s="17" t="n">
        <f aca="false">SUMPRODUCT(($R$5:$R$34&lt;=R18)*$Q$5:$Q$34)</f>
        <v>37354.5</v>
      </c>
      <c r="T18" s="32" t="n">
        <f aca="false">S18/SUM($Q$5:$Q$34)</f>
        <v>1</v>
      </c>
      <c r="U18" s="16" t="str">
        <f aca="false">IF(T18&lt;=0.7,"A",IF(T18&lt;=0.9,"B","C"))</f>
        <v>C</v>
      </c>
      <c r="V18" s="16" t="str">
        <f aca="false">IF(D18&lt;P18,"Reorder Now",IF(D18&gt;M18*2,"Overstock","OK"))</f>
        <v>Reorder Now</v>
      </c>
      <c r="W18" s="25" t="n">
        <f aca="false">IF(V18="Reorder Now",ROUND(MAX(M18,INDEX('Product Master'!$L$2:$L$31,MATCH($A18,'Product Master'!$A$2:$A$31,0))),0),0)</f>
        <v>6601</v>
      </c>
    </row>
    <row r="19" customFormat="false" ht="15" hidden="false" customHeight="false" outlineLevel="0" collapsed="false">
      <c r="A19" s="16" t="str">
        <f aca="false">'Product Master'!A16</f>
        <v>PH-015</v>
      </c>
      <c r="B19" s="16" t="str">
        <f aca="false">'Product Master'!B16</f>
        <v>Atorvastatin 20mg Tablets</v>
      </c>
      <c r="C19" s="16" t="str">
        <f aca="false">'Product Master'!C16</f>
        <v>Cardiovascular</v>
      </c>
      <c r="D19" s="25" t="n">
        <f aca="false">INDEX('Product Master'!$H$2:$H$31,MATCH($A19,'Product Master'!$A$2:$A$31,0))</f>
        <v>5316</v>
      </c>
      <c r="E19" s="29" t="n">
        <f aca="false">INDEX('Product Master'!$F$2:$F$31,MATCH($A19,'Product Master'!$A$2:$A$31,0))</f>
        <v>0.149</v>
      </c>
      <c r="F19" s="25" t="n">
        <f aca="false">INDEX('Monthly Demand'!$O$2:$O$31,MATCH($A19,'Monthly Demand'!$A$2:$A$31,0))</f>
        <v>3070</v>
      </c>
      <c r="G19" s="25" t="n">
        <f aca="false">INDEX('Monthly Demand'!$P$2:$P$31,MATCH($A19,'Monthly Demand'!$A$2:$A$31,0))</f>
        <v>255.833333333333</v>
      </c>
      <c r="H19" s="25" t="n">
        <f aca="false">INDEX('Monthly Demand'!$Q$2:$Q$31,MATCH($A19,'Monthly Demand'!$A$2:$A$31,0))</f>
        <v>17.703791752736</v>
      </c>
      <c r="I19" s="30" t="n">
        <f aca="false">INDEX('Product Master'!$I$2:$I$31,MATCH($A19,'Product Master'!$A$2:$A$31,0))</f>
        <v>21</v>
      </c>
      <c r="J19" s="31" t="n">
        <f aca="false">INDEX('Product Master'!$J$2:$J$31,MATCH($A19,'Product Master'!$A$2:$A$31,0))</f>
        <v>72.93</v>
      </c>
      <c r="K19" s="32" t="n">
        <f aca="false">INDEX('Product Master'!$K$2:$K$31,MATCH($A19,'Product Master'!$A$2:$A$31,0))</f>
        <v>0.196</v>
      </c>
      <c r="L19" s="33" t="n">
        <f aca="false">E19*K19</f>
        <v>0.029204</v>
      </c>
      <c r="M19" s="25" t="n">
        <f aca="false">IFERROR(SQRT(2*F19*J19/L19),0)</f>
        <v>3915.76051186081</v>
      </c>
      <c r="N19" s="34" t="n">
        <f aca="false">F19/365</f>
        <v>8.41095890410959</v>
      </c>
      <c r="O19" s="25" t="n">
        <f aca="false">$B$2*H19*SQRT(I19/30)</f>
        <v>24.4398905480364</v>
      </c>
      <c r="P19" s="25" t="n">
        <f aca="false">N19*I19+O19</f>
        <v>201.070027534338</v>
      </c>
      <c r="Q19" s="17" t="n">
        <f aca="false">D19*E19</f>
        <v>792.084</v>
      </c>
      <c r="R19" s="16" t="n">
        <f aca="false">RANK(Q19,$Q$5:$Q$34)</f>
        <v>12</v>
      </c>
      <c r="S19" s="17" t="n">
        <f aca="false">SUMPRODUCT(($R$5:$R$34&lt;=R19)*$Q$5:$Q$34)</f>
        <v>31622.014</v>
      </c>
      <c r="T19" s="32" t="n">
        <f aca="false">S19/SUM($Q$5:$Q$34)</f>
        <v>0.846538275174343</v>
      </c>
      <c r="U19" s="16" t="str">
        <f aca="false">IF(T19&lt;=0.7,"A",IF(T19&lt;=0.9,"B","C"))</f>
        <v>B</v>
      </c>
      <c r="V19" s="16" t="str">
        <f aca="false">IF(D19&lt;P19,"Reorder Now",IF(D19&gt;M19*2,"Overstock","OK"))</f>
        <v>OK</v>
      </c>
      <c r="W19" s="25" t="n">
        <f aca="false">IF(V19="Reorder Now",ROUND(MAX(M19,INDEX('Product Master'!$L$2:$L$31,MATCH($A19,'Product Master'!$A$2:$A$31,0))),0),0)</f>
        <v>0</v>
      </c>
    </row>
    <row r="20" customFormat="false" ht="15" hidden="false" customHeight="false" outlineLevel="0" collapsed="false">
      <c r="A20" s="16" t="str">
        <f aca="false">'Product Master'!A17</f>
        <v>PH-016</v>
      </c>
      <c r="B20" s="16" t="str">
        <f aca="false">'Product Master'!B17</f>
        <v>Warfarin 5mg Tablets</v>
      </c>
      <c r="C20" s="16" t="str">
        <f aca="false">'Product Master'!C17</f>
        <v>Cardiovascular</v>
      </c>
      <c r="D20" s="25" t="n">
        <f aca="false">INDEX('Product Master'!$H$2:$H$31,MATCH($A20,'Product Master'!$A$2:$A$31,0))</f>
        <v>4537</v>
      </c>
      <c r="E20" s="29" t="n">
        <f aca="false">INDEX('Product Master'!$F$2:$F$31,MATCH($A20,'Product Master'!$A$2:$A$31,0))</f>
        <v>0.055</v>
      </c>
      <c r="F20" s="25" t="n">
        <f aca="false">INDEX('Monthly Demand'!$O$2:$O$31,MATCH($A20,'Monthly Demand'!$A$2:$A$31,0))</f>
        <v>5176</v>
      </c>
      <c r="G20" s="25" t="n">
        <f aca="false">INDEX('Monthly Demand'!$P$2:$P$31,MATCH($A20,'Monthly Demand'!$A$2:$A$31,0))</f>
        <v>431.333333333333</v>
      </c>
      <c r="H20" s="25" t="n">
        <f aca="false">INDEX('Monthly Demand'!$Q$2:$Q$31,MATCH($A20,'Monthly Demand'!$A$2:$A$31,0))</f>
        <v>29.3081848119207</v>
      </c>
      <c r="I20" s="30" t="n">
        <f aca="false">INDEX('Product Master'!$I$2:$I$31,MATCH($A20,'Product Master'!$A$2:$A$31,0))</f>
        <v>14</v>
      </c>
      <c r="J20" s="31" t="n">
        <f aca="false">INDEX('Product Master'!$J$2:$J$31,MATCH($A20,'Product Master'!$A$2:$A$31,0))</f>
        <v>124.82</v>
      </c>
      <c r="K20" s="32" t="n">
        <f aca="false">INDEX('Product Master'!$K$2:$K$31,MATCH($A20,'Product Master'!$A$2:$A$31,0))</f>
        <v>0.195</v>
      </c>
      <c r="L20" s="33" t="n">
        <f aca="false">E20*K20</f>
        <v>0.010725</v>
      </c>
      <c r="M20" s="25" t="n">
        <f aca="false">IFERROR(SQRT(2*F20*J20/L20),0)</f>
        <v>10976.2899375217</v>
      </c>
      <c r="N20" s="34" t="n">
        <f aca="false">F20/365</f>
        <v>14.1808219178082</v>
      </c>
      <c r="O20" s="25" t="n">
        <f aca="false">$B$2*H20*SQRT(I20/30)</f>
        <v>33.0351479488135</v>
      </c>
      <c r="P20" s="25" t="n">
        <f aca="false">N20*I20+O20</f>
        <v>231.566654798129</v>
      </c>
      <c r="Q20" s="17" t="n">
        <f aca="false">D20*E20</f>
        <v>249.535</v>
      </c>
      <c r="R20" s="16" t="n">
        <f aca="false">RANK(Q20,$Q$5:$Q$34)</f>
        <v>22</v>
      </c>
      <c r="S20" s="17" t="n">
        <f aca="false">SUMPRODUCT(($R$5:$R$34&lt;=R20)*$Q$5:$Q$34)</f>
        <v>36524.983</v>
      </c>
      <c r="T20" s="32" t="n">
        <f aca="false">S20/SUM($Q$5:$Q$34)</f>
        <v>0.977793385000469</v>
      </c>
      <c r="U20" s="16" t="str">
        <f aca="false">IF(T20&lt;=0.7,"A",IF(T20&lt;=0.9,"B","C"))</f>
        <v>C</v>
      </c>
      <c r="V20" s="16" t="str">
        <f aca="false">IF(D20&lt;P20,"Reorder Now",IF(D20&gt;M20*2,"Overstock","OK"))</f>
        <v>OK</v>
      </c>
      <c r="W20" s="25" t="n">
        <f aca="false">IF(V20="Reorder Now",ROUND(MAX(M20,INDEX('Product Master'!$L$2:$L$31,MATCH($A20,'Product Master'!$A$2:$A$31,0))),0),0)</f>
        <v>0</v>
      </c>
    </row>
    <row r="21" customFormat="false" ht="15" hidden="false" customHeight="false" outlineLevel="0" collapsed="false">
      <c r="A21" s="16" t="str">
        <f aca="false">'Product Master'!A18</f>
        <v>PH-017</v>
      </c>
      <c r="B21" s="16" t="str">
        <f aca="false">'Product Master'!B18</f>
        <v>Oseltamivir 75mg Capsules</v>
      </c>
      <c r="C21" s="16" t="str">
        <f aca="false">'Product Master'!C18</f>
        <v>Antivirals</v>
      </c>
      <c r="D21" s="25" t="n">
        <f aca="false">INDEX('Product Master'!$H$2:$H$31,MATCH($A21,'Product Master'!$A$2:$A$31,0))</f>
        <v>2805</v>
      </c>
      <c r="E21" s="29" t="n">
        <f aca="false">INDEX('Product Master'!$F$2:$F$31,MATCH($A21,'Product Master'!$A$2:$A$31,0))</f>
        <v>0.248</v>
      </c>
      <c r="F21" s="25" t="n">
        <f aca="false">INDEX('Monthly Demand'!$O$2:$O$31,MATCH($A21,'Monthly Demand'!$A$2:$A$31,0))</f>
        <v>1414</v>
      </c>
      <c r="G21" s="25" t="n">
        <f aca="false">INDEX('Monthly Demand'!$P$2:$P$31,MATCH($A21,'Monthly Demand'!$A$2:$A$31,0))</f>
        <v>117.833333333333</v>
      </c>
      <c r="H21" s="25" t="n">
        <f aca="false">INDEX('Monthly Demand'!$Q$2:$Q$31,MATCH($A21,'Monthly Demand'!$A$2:$A$31,0))</f>
        <v>38.0569748316039</v>
      </c>
      <c r="I21" s="30" t="n">
        <f aca="false">INDEX('Product Master'!$I$2:$I$31,MATCH($A21,'Product Master'!$A$2:$A$31,0))</f>
        <v>10</v>
      </c>
      <c r="J21" s="31" t="n">
        <f aca="false">INDEX('Product Master'!$J$2:$J$31,MATCH($A21,'Product Master'!$A$2:$A$31,0))</f>
        <v>115.03</v>
      </c>
      <c r="K21" s="32" t="n">
        <f aca="false">INDEX('Product Master'!$K$2:$K$31,MATCH($A21,'Product Master'!$A$2:$A$31,0))</f>
        <v>0.197</v>
      </c>
      <c r="L21" s="33" t="n">
        <f aca="false">E21*K21</f>
        <v>0.048856</v>
      </c>
      <c r="M21" s="25" t="n">
        <f aca="false">IFERROR(SQRT(2*F21*J21/L21),0)</f>
        <v>2580.39569676019</v>
      </c>
      <c r="N21" s="34" t="n">
        <f aca="false">F21/365</f>
        <v>3.87397260273973</v>
      </c>
      <c r="O21" s="25" t="n">
        <f aca="false">$B$2*H21*SQRT(I21/30)</f>
        <v>36.2541376948894</v>
      </c>
      <c r="P21" s="25" t="n">
        <f aca="false">N21*I21+O21</f>
        <v>74.9938637222867</v>
      </c>
      <c r="Q21" s="17" t="n">
        <f aca="false">D21*E21</f>
        <v>695.64</v>
      </c>
      <c r="R21" s="16" t="n">
        <f aca="false">RANK(Q21,$Q$5:$Q$34)</f>
        <v>15</v>
      </c>
      <c r="S21" s="17" t="n">
        <f aca="false">SUMPRODUCT(($R$5:$R$34&lt;=R21)*$Q$5:$Q$34)</f>
        <v>33845.274</v>
      </c>
      <c r="T21" s="32" t="n">
        <f aca="false">S21/SUM($Q$5:$Q$34)</f>
        <v>0.906056137814721</v>
      </c>
      <c r="U21" s="16" t="str">
        <f aca="false">IF(T21&lt;=0.7,"A",IF(T21&lt;=0.9,"B","C"))</f>
        <v>C</v>
      </c>
      <c r="V21" s="16" t="str">
        <f aca="false">IF(D21&lt;P21,"Reorder Now",IF(D21&gt;M21*2,"Overstock","OK"))</f>
        <v>OK</v>
      </c>
      <c r="W21" s="25" t="n">
        <f aca="false">IF(V21="Reorder Now",ROUND(MAX(M21,INDEX('Product Master'!$L$2:$L$31,MATCH($A21,'Product Master'!$A$2:$A$31,0))),0),0)</f>
        <v>0</v>
      </c>
    </row>
    <row r="22" customFormat="false" ht="15" hidden="false" customHeight="false" outlineLevel="0" collapsed="false">
      <c r="A22" s="16" t="str">
        <f aca="false">'Product Master'!A19</f>
        <v>PH-018</v>
      </c>
      <c r="B22" s="16" t="str">
        <f aca="false">'Product Master'!B19</f>
        <v>Acyclovir 400mg Tablets</v>
      </c>
      <c r="C22" s="16" t="str">
        <f aca="false">'Product Master'!C19</f>
        <v>Antivirals</v>
      </c>
      <c r="D22" s="25" t="n">
        <f aca="false">INDEX('Product Master'!$H$2:$H$31,MATCH($A22,'Product Master'!$A$2:$A$31,0))</f>
        <v>7924</v>
      </c>
      <c r="E22" s="29" t="n">
        <f aca="false">INDEX('Product Master'!$F$2:$F$31,MATCH($A22,'Product Master'!$A$2:$A$31,0))</f>
        <v>0.931</v>
      </c>
      <c r="F22" s="25" t="n">
        <f aca="false">INDEX('Monthly Demand'!$O$2:$O$31,MATCH($A22,'Monthly Demand'!$A$2:$A$31,0))</f>
        <v>3873</v>
      </c>
      <c r="G22" s="25" t="n">
        <f aca="false">INDEX('Monthly Demand'!$P$2:$P$31,MATCH($A22,'Monthly Demand'!$A$2:$A$31,0))</f>
        <v>322.75</v>
      </c>
      <c r="H22" s="25" t="n">
        <f aca="false">INDEX('Monthly Demand'!$Q$2:$Q$31,MATCH($A22,'Monthly Demand'!$A$2:$A$31,0))</f>
        <v>96.8683502116521</v>
      </c>
      <c r="I22" s="30" t="n">
        <f aca="false">INDEX('Product Master'!$I$2:$I$31,MATCH($A22,'Product Master'!$A$2:$A$31,0))</f>
        <v>10</v>
      </c>
      <c r="J22" s="31" t="n">
        <f aca="false">INDEX('Product Master'!$J$2:$J$31,MATCH($A22,'Product Master'!$A$2:$A$31,0))</f>
        <v>69.35</v>
      </c>
      <c r="K22" s="32" t="n">
        <f aca="false">INDEX('Product Master'!$K$2:$K$31,MATCH($A22,'Product Master'!$A$2:$A$31,0))</f>
        <v>0.205</v>
      </c>
      <c r="L22" s="33" t="n">
        <f aca="false">E22*K22</f>
        <v>0.190855</v>
      </c>
      <c r="M22" s="25" t="n">
        <f aca="false">IFERROR(SQRT(2*F22*J22/L22),0)</f>
        <v>1677.68417502815</v>
      </c>
      <c r="N22" s="34" t="n">
        <f aca="false">F22/365</f>
        <v>10.6109589041096</v>
      </c>
      <c r="O22" s="25" t="n">
        <f aca="false">$B$2*H22*SQRT(I22/30)</f>
        <v>92.2794973165762</v>
      </c>
      <c r="P22" s="25" t="n">
        <f aca="false">N22*I22+O22</f>
        <v>198.389086357672</v>
      </c>
      <c r="Q22" s="17" t="n">
        <f aca="false">D22*E22</f>
        <v>7377.244</v>
      </c>
      <c r="R22" s="16" t="n">
        <f aca="false">RANK(Q22,$Q$5:$Q$34)</f>
        <v>1</v>
      </c>
      <c r="S22" s="17" t="n">
        <f aca="false">SUMPRODUCT(($R$5:$R$34&lt;=R22)*$Q$5:$Q$34)</f>
        <v>7377.244</v>
      </c>
      <c r="T22" s="32" t="n">
        <f aca="false">S22/SUM($Q$5:$Q$34)</f>
        <v>0.19749277864782</v>
      </c>
      <c r="U22" s="16" t="str">
        <f aca="false">IF(T22&lt;=0.7,"A",IF(T22&lt;=0.9,"B","C"))</f>
        <v>A</v>
      </c>
      <c r="V22" s="16" t="str">
        <f aca="false">IF(D22&lt;P22,"Reorder Now",IF(D22&gt;M22*2,"Overstock","OK"))</f>
        <v>Overstock</v>
      </c>
      <c r="W22" s="25" t="n">
        <f aca="false">IF(V22="Reorder Now",ROUND(MAX(M22,INDEX('Product Master'!$L$2:$L$31,MATCH($A22,'Product Master'!$A$2:$A$31,0))),0),0)</f>
        <v>0</v>
      </c>
    </row>
    <row r="23" customFormat="false" ht="15" hidden="false" customHeight="false" outlineLevel="0" collapsed="false">
      <c r="A23" s="16" t="str">
        <f aca="false">'Product Master'!A20</f>
        <v>PH-019</v>
      </c>
      <c r="B23" s="16" t="str">
        <f aca="false">'Product Master'!B20</f>
        <v>Influenza Vaccine (Dose)</v>
      </c>
      <c r="C23" s="16" t="str">
        <f aca="false">'Product Master'!C20</f>
        <v>Vaccines</v>
      </c>
      <c r="D23" s="25" t="n">
        <f aca="false">INDEX('Product Master'!$H$2:$H$31,MATCH($A23,'Product Master'!$A$2:$A$31,0))</f>
        <v>405</v>
      </c>
      <c r="E23" s="29" t="n">
        <f aca="false">INDEX('Product Master'!$F$2:$F$31,MATCH($A23,'Product Master'!$A$2:$A$31,0))</f>
        <v>5.69</v>
      </c>
      <c r="F23" s="25" t="n">
        <f aca="false">INDEX('Monthly Demand'!$O$2:$O$31,MATCH($A23,'Monthly Demand'!$A$2:$A$31,0))</f>
        <v>250</v>
      </c>
      <c r="G23" s="25" t="n">
        <f aca="false">INDEX('Monthly Demand'!$P$2:$P$31,MATCH($A23,'Monthly Demand'!$A$2:$A$31,0))</f>
        <v>20.8333333333333</v>
      </c>
      <c r="H23" s="25" t="n">
        <f aca="false">INDEX('Monthly Demand'!$Q$2:$Q$31,MATCH($A23,'Monthly Demand'!$A$2:$A$31,0))</f>
        <v>8.02080627701064</v>
      </c>
      <c r="I23" s="30" t="n">
        <f aca="false">INDEX('Product Master'!$I$2:$I$31,MATCH($A23,'Product Master'!$A$2:$A$31,0))</f>
        <v>45</v>
      </c>
      <c r="J23" s="31" t="n">
        <f aca="false">INDEX('Product Master'!$J$2:$J$31,MATCH($A23,'Product Master'!$A$2:$A$31,0))</f>
        <v>315.9</v>
      </c>
      <c r="K23" s="32" t="n">
        <f aca="false">INDEX('Product Master'!$K$2:$K$31,MATCH($A23,'Product Master'!$A$2:$A$31,0))</f>
        <v>0.307</v>
      </c>
      <c r="L23" s="33" t="n">
        <f aca="false">E23*K23</f>
        <v>1.74683</v>
      </c>
      <c r="M23" s="25" t="n">
        <f aca="false">IFERROR(SQRT(2*F23*J23/L23),0)</f>
        <v>300.700738143925</v>
      </c>
      <c r="N23" s="34" t="n">
        <f aca="false">F23/365</f>
        <v>0.684931506849315</v>
      </c>
      <c r="O23" s="25" t="n">
        <f aca="false">$B$2*H23*SQRT(I23/30)</f>
        <v>16.2086782311205</v>
      </c>
      <c r="P23" s="25" t="n">
        <f aca="false">N23*I23+O23</f>
        <v>47.0305960393397</v>
      </c>
      <c r="Q23" s="17" t="n">
        <f aca="false">D23*E23</f>
        <v>2304.45</v>
      </c>
      <c r="R23" s="16" t="n">
        <f aca="false">RANK(Q23,$Q$5:$Q$34)</f>
        <v>4</v>
      </c>
      <c r="S23" s="17" t="n">
        <f aca="false">SUMPRODUCT(($R$5:$R$34&lt;=R23)*$Q$5:$Q$34)</f>
        <v>20125.774</v>
      </c>
      <c r="T23" s="32" t="n">
        <f aca="false">S23/SUM($Q$5:$Q$34)</f>
        <v>0.53877776439251</v>
      </c>
      <c r="U23" s="16" t="str">
        <f aca="false">IF(T23&lt;=0.7,"A",IF(T23&lt;=0.9,"B","C"))</f>
        <v>A</v>
      </c>
      <c r="V23" s="16" t="str">
        <f aca="false">IF(D23&lt;P23,"Reorder Now",IF(D23&gt;M23*2,"Overstock","OK"))</f>
        <v>OK</v>
      </c>
      <c r="W23" s="25" t="n">
        <f aca="false">IF(V23="Reorder Now",ROUND(MAX(M23,INDEX('Product Master'!$L$2:$L$31,MATCH($A23,'Product Master'!$A$2:$A$31,0))),0),0)</f>
        <v>0</v>
      </c>
    </row>
    <row r="24" customFormat="false" ht="15" hidden="false" customHeight="false" outlineLevel="0" collapsed="false">
      <c r="A24" s="16" t="str">
        <f aca="false">'Product Master'!A21</f>
        <v>PH-020</v>
      </c>
      <c r="B24" s="16" t="str">
        <f aca="false">'Product Master'!B21</f>
        <v>Hepatitis B Vaccine (Dose)</v>
      </c>
      <c r="C24" s="16" t="str">
        <f aca="false">'Product Master'!C21</f>
        <v>Vaccines</v>
      </c>
      <c r="D24" s="25" t="n">
        <f aca="false">INDEX('Product Master'!$H$2:$H$31,MATCH($A24,'Product Master'!$A$2:$A$31,0))</f>
        <v>8</v>
      </c>
      <c r="E24" s="29" t="n">
        <f aca="false">INDEX('Product Master'!$F$2:$F$31,MATCH($A24,'Product Master'!$A$2:$A$31,0))</f>
        <v>8.85</v>
      </c>
      <c r="F24" s="25" t="n">
        <f aca="false">INDEX('Monthly Demand'!$O$2:$O$31,MATCH($A24,'Monthly Demand'!$A$2:$A$31,0))</f>
        <v>203</v>
      </c>
      <c r="G24" s="25" t="n">
        <f aca="false">INDEX('Monthly Demand'!$P$2:$P$31,MATCH($A24,'Monthly Demand'!$A$2:$A$31,0))</f>
        <v>16.9166666666667</v>
      </c>
      <c r="H24" s="25" t="n">
        <f aca="false">INDEX('Monthly Demand'!$Q$2:$Q$31,MATCH($A24,'Monthly Demand'!$A$2:$A$31,0))</f>
        <v>6.44498865692398</v>
      </c>
      <c r="I24" s="30" t="n">
        <f aca="false">INDEX('Product Master'!$I$2:$I$31,MATCH($A24,'Product Master'!$A$2:$A$31,0))</f>
        <v>45</v>
      </c>
      <c r="J24" s="31" t="n">
        <f aca="false">INDEX('Product Master'!$J$2:$J$31,MATCH($A24,'Product Master'!$A$2:$A$31,0))</f>
        <v>180.34</v>
      </c>
      <c r="K24" s="32" t="n">
        <f aca="false">INDEX('Product Master'!$K$2:$K$31,MATCH($A24,'Product Master'!$A$2:$A$31,0))</f>
        <v>0.314</v>
      </c>
      <c r="L24" s="33" t="n">
        <f aca="false">E24*K24</f>
        <v>2.7789</v>
      </c>
      <c r="M24" s="25" t="n">
        <f aca="false">IFERROR(SQRT(2*F24*J24/L24),0)</f>
        <v>162.32020782593</v>
      </c>
      <c r="N24" s="34" t="n">
        <f aca="false">F24/365</f>
        <v>0.556164383561644</v>
      </c>
      <c r="O24" s="25" t="n">
        <f aca="false">$B$2*H24*SQRT(I24/30)</f>
        <v>13.0242202261786</v>
      </c>
      <c r="P24" s="25" t="n">
        <f aca="false">N24*I24+O24</f>
        <v>38.0516174864526</v>
      </c>
      <c r="Q24" s="17" t="n">
        <f aca="false">D24*E24</f>
        <v>70.8</v>
      </c>
      <c r="R24" s="16" t="n">
        <f aca="false">RANK(Q24,$Q$5:$Q$34)</f>
        <v>26</v>
      </c>
      <c r="S24" s="17" t="n">
        <f aca="false">SUMPRODUCT(($R$5:$R$34&lt;=R24)*$Q$5:$Q$34)</f>
        <v>37279.85</v>
      </c>
      <c r="T24" s="32" t="n">
        <f aca="false">S24/SUM($Q$5:$Q$34)</f>
        <v>0.998001579461645</v>
      </c>
      <c r="U24" s="16" t="str">
        <f aca="false">IF(T24&lt;=0.7,"A",IF(T24&lt;=0.9,"B","C"))</f>
        <v>C</v>
      </c>
      <c r="V24" s="16" t="str">
        <f aca="false">IF(D24&lt;P24,"Reorder Now",IF(D24&gt;M24*2,"Overstock","OK"))</f>
        <v>Reorder Now</v>
      </c>
      <c r="W24" s="25" t="n">
        <f aca="false">IF(V24="Reorder Now",ROUND(MAX(M24,INDEX('Product Master'!$L$2:$L$31,MATCH($A24,'Product Master'!$A$2:$A$31,0))),0),0)</f>
        <v>1000</v>
      </c>
    </row>
    <row r="25" customFormat="false" ht="15" hidden="false" customHeight="false" outlineLevel="0" collapsed="false">
      <c r="A25" s="16" t="str">
        <f aca="false">'Product Master'!A22</f>
        <v>PH-021</v>
      </c>
      <c r="B25" s="16" t="str">
        <f aca="false">'Product Master'!B22</f>
        <v>Tetanus Toxoid Vaccine (Dose)</v>
      </c>
      <c r="C25" s="16" t="str">
        <f aca="false">'Product Master'!C22</f>
        <v>Vaccines</v>
      </c>
      <c r="D25" s="25" t="n">
        <f aca="false">INDEX('Product Master'!$H$2:$H$31,MATCH($A25,'Product Master'!$A$2:$A$31,0))</f>
        <v>332</v>
      </c>
      <c r="E25" s="29" t="n">
        <f aca="false">INDEX('Product Master'!$F$2:$F$31,MATCH($A25,'Product Master'!$A$2:$A$31,0))</f>
        <v>11.67</v>
      </c>
      <c r="F25" s="25" t="n">
        <f aca="false">INDEX('Monthly Demand'!$O$2:$O$31,MATCH($A25,'Monthly Demand'!$A$2:$A$31,0))</f>
        <v>213</v>
      </c>
      <c r="G25" s="25" t="n">
        <f aca="false">INDEX('Monthly Demand'!$P$2:$P$31,MATCH($A25,'Monthly Demand'!$A$2:$A$31,0))</f>
        <v>17.75</v>
      </c>
      <c r="H25" s="25" t="n">
        <f aca="false">INDEX('Monthly Demand'!$Q$2:$Q$31,MATCH($A25,'Monthly Demand'!$A$2:$A$31,0))</f>
        <v>6.46845492300202</v>
      </c>
      <c r="I25" s="30" t="n">
        <f aca="false">INDEX('Product Master'!$I$2:$I$31,MATCH($A25,'Product Master'!$A$2:$A$31,0))</f>
        <v>35</v>
      </c>
      <c r="J25" s="31" t="n">
        <f aca="false">INDEX('Product Master'!$J$2:$J$31,MATCH($A25,'Product Master'!$A$2:$A$31,0))</f>
        <v>264.09</v>
      </c>
      <c r="K25" s="32" t="n">
        <f aca="false">INDEX('Product Master'!$K$2:$K$31,MATCH($A25,'Product Master'!$A$2:$A$31,0))</f>
        <v>0.315</v>
      </c>
      <c r="L25" s="33" t="n">
        <f aca="false">E25*K25</f>
        <v>3.67605</v>
      </c>
      <c r="M25" s="25" t="n">
        <f aca="false">IFERROR(SQRT(2*F25*J25/L25),0)</f>
        <v>174.940382969001</v>
      </c>
      <c r="N25" s="34" t="n">
        <f aca="false">F25/365</f>
        <v>0.583561643835617</v>
      </c>
      <c r="O25" s="25" t="n">
        <f aca="false">$B$2*H25*SQRT(I25/30)</f>
        <v>11.5281042457119</v>
      </c>
      <c r="P25" s="25" t="n">
        <f aca="false">N25*I25+O25</f>
        <v>31.9527617799584</v>
      </c>
      <c r="Q25" s="17" t="n">
        <f aca="false">D25*E25</f>
        <v>3874.44</v>
      </c>
      <c r="R25" s="16" t="n">
        <f aca="false">RANK(Q25,$Q$5:$Q$34)</f>
        <v>3</v>
      </c>
      <c r="S25" s="17" t="n">
        <f aca="false">SUMPRODUCT(($R$5:$R$34&lt;=R25)*$Q$5:$Q$34)</f>
        <v>17821.324</v>
      </c>
      <c r="T25" s="32" t="n">
        <f aca="false">S25/SUM($Q$5:$Q$34)</f>
        <v>0.477086401906062</v>
      </c>
      <c r="U25" s="16" t="str">
        <f aca="false">IF(T25&lt;=0.7,"A",IF(T25&lt;=0.9,"B","C"))</f>
        <v>A</v>
      </c>
      <c r="V25" s="16" t="str">
        <f aca="false">IF(D25&lt;P25,"Reorder Now",IF(D25&gt;M25*2,"Overstock","OK"))</f>
        <v>OK</v>
      </c>
      <c r="W25" s="25" t="n">
        <f aca="false">IF(V25="Reorder Now",ROUND(MAX(M25,INDEX('Product Master'!$L$2:$L$31,MATCH($A25,'Product Master'!$A$2:$A$31,0))),0),0)</f>
        <v>0</v>
      </c>
    </row>
    <row r="26" customFormat="false" ht="15" hidden="false" customHeight="false" outlineLevel="0" collapsed="false">
      <c r="A26" s="16" t="str">
        <f aca="false">'Product Master'!A23</f>
        <v>PH-022</v>
      </c>
      <c r="B26" s="16" t="str">
        <f aca="false">'Product Master'!B23</f>
        <v>Vitamin D3 1000IU Tablets</v>
      </c>
      <c r="C26" s="16" t="str">
        <f aca="false">'Product Master'!C23</f>
        <v>Vitamins &amp; Supplements</v>
      </c>
      <c r="D26" s="25" t="n">
        <f aca="false">INDEX('Product Master'!$H$2:$H$31,MATCH($A26,'Product Master'!$A$2:$A$31,0))</f>
        <v>7561</v>
      </c>
      <c r="E26" s="29" t="n">
        <f aca="false">INDEX('Product Master'!$F$2:$F$31,MATCH($A26,'Product Master'!$A$2:$A$31,0))</f>
        <v>0.056</v>
      </c>
      <c r="F26" s="25" t="n">
        <f aca="false">INDEX('Monthly Demand'!$O$2:$O$31,MATCH($A26,'Monthly Demand'!$A$2:$A$31,0))</f>
        <v>4417</v>
      </c>
      <c r="G26" s="25" t="n">
        <f aca="false">INDEX('Monthly Demand'!$P$2:$P$31,MATCH($A26,'Monthly Demand'!$A$2:$A$31,0))</f>
        <v>368.083333333333</v>
      </c>
      <c r="H26" s="25" t="n">
        <f aca="false">INDEX('Monthly Demand'!$Q$2:$Q$31,MATCH($A26,'Monthly Demand'!$A$2:$A$31,0))</f>
        <v>30.9205972344218</v>
      </c>
      <c r="I26" s="30" t="n">
        <f aca="false">INDEX('Product Master'!$I$2:$I$31,MATCH($A26,'Product Master'!$A$2:$A$31,0))</f>
        <v>14</v>
      </c>
      <c r="J26" s="31" t="n">
        <f aca="false">INDEX('Product Master'!$J$2:$J$31,MATCH($A26,'Product Master'!$A$2:$A$31,0))</f>
        <v>96.7</v>
      </c>
      <c r="K26" s="32" t="n">
        <f aca="false">INDEX('Product Master'!$K$2:$K$31,MATCH($A26,'Product Master'!$A$2:$A$31,0))</f>
        <v>0.194</v>
      </c>
      <c r="L26" s="33" t="n">
        <f aca="false">E26*K26</f>
        <v>0.010864</v>
      </c>
      <c r="M26" s="25" t="n">
        <f aca="false">IFERROR(SQRT(2*F26*J26/L26),0)</f>
        <v>8867.41544651151</v>
      </c>
      <c r="N26" s="34" t="n">
        <f aca="false">F26/365</f>
        <v>12.1013698630137</v>
      </c>
      <c r="O26" s="25" t="n">
        <f aca="false">$B$2*H26*SQRT(I26/30)</f>
        <v>34.8526021266705</v>
      </c>
      <c r="P26" s="25" t="n">
        <f aca="false">N26*I26+O26</f>
        <v>204.271780208862</v>
      </c>
      <c r="Q26" s="17" t="n">
        <f aca="false">D26*E26</f>
        <v>423.416</v>
      </c>
      <c r="R26" s="16" t="n">
        <f aca="false">RANK(Q26,$Q$5:$Q$34)</f>
        <v>18</v>
      </c>
      <c r="S26" s="17" t="n">
        <f aca="false">SUMPRODUCT(($R$5:$R$34&lt;=R26)*$Q$5:$Q$34)</f>
        <v>35263.982</v>
      </c>
      <c r="T26" s="32" t="n">
        <f aca="false">S26/SUM($Q$5:$Q$34)</f>
        <v>0.944035711895488</v>
      </c>
      <c r="U26" s="16" t="str">
        <f aca="false">IF(T26&lt;=0.7,"A",IF(T26&lt;=0.9,"B","C"))</f>
        <v>C</v>
      </c>
      <c r="V26" s="16" t="str">
        <f aca="false">IF(D26&lt;P26,"Reorder Now",IF(D26&gt;M26*2,"Overstock","OK"))</f>
        <v>OK</v>
      </c>
      <c r="W26" s="25" t="n">
        <f aca="false">IF(V26="Reorder Now",ROUND(MAX(M26,INDEX('Product Master'!$L$2:$L$31,MATCH($A26,'Product Master'!$A$2:$A$31,0))),0),0)</f>
        <v>0</v>
      </c>
    </row>
    <row r="27" customFormat="false" ht="15" hidden="false" customHeight="false" outlineLevel="0" collapsed="false">
      <c r="A27" s="16" t="str">
        <f aca="false">'Product Master'!A24</f>
        <v>PH-023</v>
      </c>
      <c r="B27" s="16" t="str">
        <f aca="false">'Product Master'!B24</f>
        <v>Multivitamin Tablets</v>
      </c>
      <c r="C27" s="16" t="str">
        <f aca="false">'Product Master'!C24</f>
        <v>Vitamins &amp; Supplements</v>
      </c>
      <c r="D27" s="25" t="n">
        <f aca="false">INDEX('Product Master'!$H$2:$H$31,MATCH($A27,'Product Master'!$A$2:$A$31,0))</f>
        <v>9169</v>
      </c>
      <c r="E27" s="29" t="n">
        <f aca="false">INDEX('Product Master'!$F$2:$F$31,MATCH($A27,'Product Master'!$A$2:$A$31,0))</f>
        <v>0.043</v>
      </c>
      <c r="F27" s="25" t="n">
        <f aca="false">INDEX('Monthly Demand'!$O$2:$O$31,MATCH($A27,'Monthly Demand'!$A$2:$A$31,0))</f>
        <v>6175</v>
      </c>
      <c r="G27" s="25" t="n">
        <f aca="false">INDEX('Monthly Demand'!$P$2:$P$31,MATCH($A27,'Monthly Demand'!$A$2:$A$31,0))</f>
        <v>514.583333333333</v>
      </c>
      <c r="H27" s="25" t="n">
        <f aca="false">INDEX('Monthly Demand'!$Q$2:$Q$31,MATCH($A27,'Monthly Demand'!$A$2:$A$31,0))</f>
        <v>31.7159504847563</v>
      </c>
      <c r="I27" s="30" t="n">
        <f aca="false">INDEX('Product Master'!$I$2:$I$31,MATCH($A27,'Product Master'!$A$2:$A$31,0))</f>
        <v>10</v>
      </c>
      <c r="J27" s="31" t="n">
        <f aca="false">INDEX('Product Master'!$J$2:$J$31,MATCH($A27,'Product Master'!$A$2:$A$31,0))</f>
        <v>56.23</v>
      </c>
      <c r="K27" s="32" t="n">
        <f aca="false">INDEX('Product Master'!$K$2:$K$31,MATCH($A27,'Product Master'!$A$2:$A$31,0))</f>
        <v>0.198</v>
      </c>
      <c r="L27" s="33" t="n">
        <f aca="false">E27*K27</f>
        <v>0.008514</v>
      </c>
      <c r="M27" s="25" t="n">
        <f aca="false">IFERROR(SQRT(2*F27*J27/L27),0)</f>
        <v>9031.30891711723</v>
      </c>
      <c r="N27" s="34" t="n">
        <f aca="false">F27/365</f>
        <v>16.9178082191781</v>
      </c>
      <c r="O27" s="25" t="n">
        <f aca="false">$B$2*H27*SQRT(I27/30)</f>
        <v>30.2135007074652</v>
      </c>
      <c r="P27" s="25" t="n">
        <f aca="false">N27*I27+O27</f>
        <v>199.391582899246</v>
      </c>
      <c r="Q27" s="17" t="n">
        <f aca="false">D27*E27</f>
        <v>394.267</v>
      </c>
      <c r="R27" s="16" t="n">
        <f aca="false">RANK(Q27,$Q$5:$Q$34)</f>
        <v>19</v>
      </c>
      <c r="S27" s="17" t="n">
        <f aca="false">SUMPRODUCT(($R$5:$R$34&lt;=R27)*$Q$5:$Q$34)</f>
        <v>35658.249</v>
      </c>
      <c r="T27" s="32" t="n">
        <f aca="false">S27/SUM($Q$5:$Q$34)</f>
        <v>0.954590450949685</v>
      </c>
      <c r="U27" s="16" t="str">
        <f aca="false">IF(T27&lt;=0.7,"A",IF(T27&lt;=0.9,"B","C"))</f>
        <v>C</v>
      </c>
      <c r="V27" s="16" t="str">
        <f aca="false">IF(D27&lt;P27,"Reorder Now",IF(D27&gt;M27*2,"Overstock","OK"))</f>
        <v>OK</v>
      </c>
      <c r="W27" s="25" t="n">
        <f aca="false">IF(V27="Reorder Now",ROUND(MAX(M27,INDEX('Product Master'!$L$2:$L$31,MATCH($A27,'Product Master'!$A$2:$A$31,0))),0),0)</f>
        <v>0</v>
      </c>
    </row>
    <row r="28" customFormat="false" ht="15" hidden="false" customHeight="false" outlineLevel="0" collapsed="false">
      <c r="A28" s="16" t="str">
        <f aca="false">'Product Master'!A25</f>
        <v>PH-024</v>
      </c>
      <c r="B28" s="16" t="str">
        <f aca="false">'Product Master'!B25</f>
        <v>Folic Acid 5mg Tablets</v>
      </c>
      <c r="C28" s="16" t="str">
        <f aca="false">'Product Master'!C25</f>
        <v>Vitamins &amp; Supplements</v>
      </c>
      <c r="D28" s="25" t="n">
        <f aca="false">INDEX('Product Master'!$H$2:$H$31,MATCH($A28,'Product Master'!$A$2:$A$31,0))</f>
        <v>10982</v>
      </c>
      <c r="E28" s="29" t="n">
        <f aca="false">INDEX('Product Master'!$F$2:$F$31,MATCH($A28,'Product Master'!$A$2:$A$31,0))</f>
        <v>0.033</v>
      </c>
      <c r="F28" s="25" t="n">
        <f aca="false">INDEX('Monthly Demand'!$O$2:$O$31,MATCH($A28,'Monthly Demand'!$A$2:$A$31,0))</f>
        <v>6683</v>
      </c>
      <c r="G28" s="25" t="n">
        <f aca="false">INDEX('Monthly Demand'!$P$2:$P$31,MATCH($A28,'Monthly Demand'!$A$2:$A$31,0))</f>
        <v>556.916666666667</v>
      </c>
      <c r="H28" s="25" t="n">
        <f aca="false">INDEX('Monthly Demand'!$Q$2:$Q$31,MATCH($A28,'Monthly Demand'!$A$2:$A$31,0))</f>
        <v>32.2897628959828</v>
      </c>
      <c r="I28" s="30" t="n">
        <f aca="false">INDEX('Product Master'!$I$2:$I$31,MATCH($A28,'Product Master'!$A$2:$A$31,0))</f>
        <v>30</v>
      </c>
      <c r="J28" s="31" t="n">
        <f aca="false">INDEX('Product Master'!$J$2:$J$31,MATCH($A28,'Product Master'!$A$2:$A$31,0))</f>
        <v>138.12</v>
      </c>
      <c r="K28" s="32" t="n">
        <f aca="false">INDEX('Product Master'!$K$2:$K$31,MATCH($A28,'Product Master'!$A$2:$A$31,0))</f>
        <v>0.18</v>
      </c>
      <c r="L28" s="33" t="n">
        <f aca="false">E28*K28</f>
        <v>0.00594</v>
      </c>
      <c r="M28" s="25" t="n">
        <f aca="false">IFERROR(SQRT(2*F28*J28/L28),0)</f>
        <v>17629.329327154</v>
      </c>
      <c r="N28" s="34" t="n">
        <f aca="false">F28/365</f>
        <v>18.3095890410959</v>
      </c>
      <c r="O28" s="25" t="n">
        <f aca="false">$B$2*H28*SQRT(I28/30)</f>
        <v>53.2781087783716</v>
      </c>
      <c r="P28" s="25" t="n">
        <f aca="false">N28*I28+O28</f>
        <v>602.565780011248</v>
      </c>
      <c r="Q28" s="17" t="n">
        <f aca="false">D28*E28</f>
        <v>362.406</v>
      </c>
      <c r="R28" s="16" t="n">
        <f aca="false">RANK(Q28,$Q$5:$Q$34)</f>
        <v>20</v>
      </c>
      <c r="S28" s="17" t="n">
        <f aca="false">SUMPRODUCT(($R$5:$R$34&lt;=R28)*$Q$5:$Q$34)</f>
        <v>36020.655</v>
      </c>
      <c r="T28" s="32" t="n">
        <f aca="false">S28/SUM($Q$5:$Q$34)</f>
        <v>0.964292253945308</v>
      </c>
      <c r="U28" s="16" t="str">
        <f aca="false">IF(T28&lt;=0.7,"A",IF(T28&lt;=0.9,"B","C"))</f>
        <v>C</v>
      </c>
      <c r="V28" s="16" t="str">
        <f aca="false">IF(D28&lt;P28,"Reorder Now",IF(D28&gt;M28*2,"Overstock","OK"))</f>
        <v>OK</v>
      </c>
      <c r="W28" s="25" t="n">
        <f aca="false">IF(V28="Reorder Now",ROUND(MAX(M28,INDEX('Product Master'!$L$2:$L$31,MATCH($A28,'Product Master'!$A$2:$A$31,0))),0),0)</f>
        <v>0</v>
      </c>
    </row>
    <row r="29" customFormat="false" ht="15" hidden="false" customHeight="false" outlineLevel="0" collapsed="false">
      <c r="A29" s="16" t="str">
        <f aca="false">'Product Master'!A26</f>
        <v>PH-025</v>
      </c>
      <c r="B29" s="16" t="str">
        <f aca="false">'Product Master'!B26</f>
        <v>Salbutamol Inhaler 100mcg</v>
      </c>
      <c r="C29" s="16" t="str">
        <f aca="false">'Product Master'!C26</f>
        <v>Respiratory</v>
      </c>
      <c r="D29" s="25" t="n">
        <f aca="false">INDEX('Product Master'!$H$2:$H$31,MATCH($A29,'Product Master'!$A$2:$A$31,0))</f>
        <v>28</v>
      </c>
      <c r="E29" s="29" t="n">
        <f aca="false">INDEX('Product Master'!$F$2:$F$31,MATCH($A29,'Product Master'!$A$2:$A$31,0))</f>
        <v>1.287</v>
      </c>
      <c r="F29" s="25" t="n">
        <f aca="false">INDEX('Monthly Demand'!$O$2:$O$31,MATCH($A29,'Monthly Demand'!$A$2:$A$31,0))</f>
        <v>870</v>
      </c>
      <c r="G29" s="25" t="n">
        <f aca="false">INDEX('Monthly Demand'!$P$2:$P$31,MATCH($A29,'Monthly Demand'!$A$2:$A$31,0))</f>
        <v>72.5</v>
      </c>
      <c r="H29" s="25" t="n">
        <f aca="false">INDEX('Monthly Demand'!$Q$2:$Q$31,MATCH($A29,'Monthly Demand'!$A$2:$A$31,0))</f>
        <v>24.0661965873675</v>
      </c>
      <c r="I29" s="30" t="n">
        <f aca="false">INDEX('Product Master'!$I$2:$I$31,MATCH($A29,'Product Master'!$A$2:$A$31,0))</f>
        <v>10</v>
      </c>
      <c r="J29" s="31" t="n">
        <f aca="false">INDEX('Product Master'!$J$2:$J$31,MATCH($A29,'Product Master'!$A$2:$A$31,0))</f>
        <v>65.44</v>
      </c>
      <c r="K29" s="32" t="n">
        <f aca="false">INDEX('Product Master'!$K$2:$K$31,MATCH($A29,'Product Master'!$A$2:$A$31,0))</f>
        <v>0.199</v>
      </c>
      <c r="L29" s="33" t="n">
        <f aca="false">E29*K29</f>
        <v>0.256113</v>
      </c>
      <c r="M29" s="25" t="n">
        <f aca="false">IFERROR(SQRT(2*F29*J29/L29),0)</f>
        <v>666.776765223194</v>
      </c>
      <c r="N29" s="34" t="n">
        <f aca="false">F29/365</f>
        <v>2.38356164383562</v>
      </c>
      <c r="O29" s="25" t="n">
        <f aca="false">$B$2*H29*SQRT(I29/30)</f>
        <v>22.9261313788437</v>
      </c>
      <c r="P29" s="25" t="n">
        <f aca="false">N29*I29+O29</f>
        <v>46.7617478171998</v>
      </c>
      <c r="Q29" s="17" t="n">
        <f aca="false">D29*E29</f>
        <v>36.036</v>
      </c>
      <c r="R29" s="16" t="n">
        <f aca="false">RANK(Q29,$Q$5:$Q$34)</f>
        <v>27</v>
      </c>
      <c r="S29" s="17" t="n">
        <f aca="false">SUMPRODUCT(($R$5:$R$34&lt;=R29)*$Q$5:$Q$34)</f>
        <v>37315.886</v>
      </c>
      <c r="T29" s="32" t="n">
        <f aca="false">S29/SUM($Q$5:$Q$34)</f>
        <v>0.99896628250947</v>
      </c>
      <c r="U29" s="16" t="str">
        <f aca="false">IF(T29&lt;=0.7,"A",IF(T29&lt;=0.9,"B","C"))</f>
        <v>C</v>
      </c>
      <c r="V29" s="16" t="str">
        <f aca="false">IF(D29&lt;P29,"Reorder Now",IF(D29&gt;M29*2,"Overstock","OK"))</f>
        <v>Reorder Now</v>
      </c>
      <c r="W29" s="25" t="n">
        <f aca="false">IF(V29="Reorder Now",ROUND(MAX(M29,INDEX('Product Master'!$L$2:$L$31,MATCH($A29,'Product Master'!$A$2:$A$31,0))),0),0)</f>
        <v>667</v>
      </c>
    </row>
    <row r="30" customFormat="false" ht="15" hidden="false" customHeight="false" outlineLevel="0" collapsed="false">
      <c r="A30" s="16" t="str">
        <f aca="false">'Product Master'!A27</f>
        <v>PH-026</v>
      </c>
      <c r="B30" s="16" t="str">
        <f aca="false">'Product Master'!B27</f>
        <v>Montelukast 10mg Tablets</v>
      </c>
      <c r="C30" s="16" t="str">
        <f aca="false">'Product Master'!C27</f>
        <v>Respiratory</v>
      </c>
      <c r="D30" s="25" t="n">
        <f aca="false">INDEX('Product Master'!$H$2:$H$31,MATCH($A30,'Product Master'!$A$2:$A$31,0))</f>
        <v>12355</v>
      </c>
      <c r="E30" s="29" t="n">
        <f aca="false">INDEX('Product Master'!$F$2:$F$31,MATCH($A30,'Product Master'!$A$2:$A$31,0))</f>
        <v>0.179</v>
      </c>
      <c r="F30" s="25" t="n">
        <f aca="false">INDEX('Monthly Demand'!$O$2:$O$31,MATCH($A30,'Monthly Demand'!$A$2:$A$31,0))</f>
        <v>6565</v>
      </c>
      <c r="G30" s="25" t="n">
        <f aca="false">INDEX('Monthly Demand'!$P$2:$P$31,MATCH($A30,'Monthly Demand'!$A$2:$A$31,0))</f>
        <v>547.083333333333</v>
      </c>
      <c r="H30" s="25" t="n">
        <f aca="false">INDEX('Monthly Demand'!$Q$2:$Q$31,MATCH($A30,'Monthly Demand'!$A$2:$A$31,0))</f>
        <v>192.537816041578</v>
      </c>
      <c r="I30" s="30" t="n">
        <f aca="false">INDEX('Product Master'!$I$2:$I$31,MATCH($A30,'Product Master'!$A$2:$A$31,0))</f>
        <v>15</v>
      </c>
      <c r="J30" s="31" t="n">
        <f aca="false">INDEX('Product Master'!$J$2:$J$31,MATCH($A30,'Product Master'!$A$2:$A$31,0))</f>
        <v>99.2</v>
      </c>
      <c r="K30" s="32" t="n">
        <f aca="false">INDEX('Product Master'!$K$2:$K$31,MATCH($A30,'Product Master'!$A$2:$A$31,0))</f>
        <v>0.201</v>
      </c>
      <c r="L30" s="33" t="n">
        <f aca="false">E30*K30</f>
        <v>0.035979</v>
      </c>
      <c r="M30" s="25" t="n">
        <f aca="false">IFERROR(SQRT(2*F30*J30/L30),0)</f>
        <v>6016.77338964089</v>
      </c>
      <c r="N30" s="34" t="n">
        <f aca="false">F30/365</f>
        <v>17.986301369863</v>
      </c>
      <c r="O30" s="25" t="n">
        <f aca="false">$B$2*H30*SQRT(I30/30)</f>
        <v>224.638912340449</v>
      </c>
      <c r="P30" s="25" t="n">
        <f aca="false">N30*I30+O30</f>
        <v>494.433432888394</v>
      </c>
      <c r="Q30" s="17" t="n">
        <f aca="false">D30*E30</f>
        <v>2211.545</v>
      </c>
      <c r="R30" s="16" t="n">
        <f aca="false">RANK(Q30,$Q$5:$Q$34)</f>
        <v>5</v>
      </c>
      <c r="S30" s="17" t="n">
        <f aca="false">SUMPRODUCT(($R$5:$R$34&lt;=R30)*$Q$5:$Q$34)</f>
        <v>22337.319</v>
      </c>
      <c r="T30" s="32" t="n">
        <f aca="false">S30/SUM($Q$5:$Q$34)</f>
        <v>0.597982010199574</v>
      </c>
      <c r="U30" s="16" t="str">
        <f aca="false">IF(T30&lt;=0.7,"A",IF(T30&lt;=0.9,"B","C"))</f>
        <v>A</v>
      </c>
      <c r="V30" s="16" t="str">
        <f aca="false">IF(D30&lt;P30,"Reorder Now",IF(D30&gt;M30*2,"Overstock","OK"))</f>
        <v>Overstock</v>
      </c>
      <c r="W30" s="25" t="n">
        <f aca="false">IF(V30="Reorder Now",ROUND(MAX(M30,INDEX('Product Master'!$L$2:$L$31,MATCH($A30,'Product Master'!$A$2:$A$31,0))),0),0)</f>
        <v>0</v>
      </c>
    </row>
    <row r="31" customFormat="false" ht="15" hidden="false" customHeight="false" outlineLevel="0" collapsed="false">
      <c r="A31" s="16" t="str">
        <f aca="false">'Product Master'!A28</f>
        <v>PH-027</v>
      </c>
      <c r="B31" s="16" t="str">
        <f aca="false">'Product Master'!B28</f>
        <v>Omeprazole 20mg Capsules</v>
      </c>
      <c r="C31" s="16" t="str">
        <f aca="false">'Product Master'!C28</f>
        <v>Gastrointestinal</v>
      </c>
      <c r="D31" s="25" t="n">
        <f aca="false">INDEX('Product Master'!$H$2:$H$31,MATCH($A31,'Product Master'!$A$2:$A$31,0))</f>
        <v>7064</v>
      </c>
      <c r="E31" s="29" t="n">
        <f aca="false">INDEX('Product Master'!$F$2:$F$31,MATCH($A31,'Product Master'!$A$2:$A$31,0))</f>
        <v>0.112</v>
      </c>
      <c r="F31" s="25" t="n">
        <f aca="false">INDEX('Monthly Demand'!$O$2:$O$31,MATCH($A31,'Monthly Demand'!$A$2:$A$31,0))</f>
        <v>8193</v>
      </c>
      <c r="G31" s="25" t="n">
        <f aca="false">INDEX('Monthly Demand'!$P$2:$P$31,MATCH($A31,'Monthly Demand'!$A$2:$A$31,0))</f>
        <v>682.75</v>
      </c>
      <c r="H31" s="25" t="n">
        <f aca="false">INDEX('Monthly Demand'!$Q$2:$Q$31,MATCH($A31,'Monthly Demand'!$A$2:$A$31,0))</f>
        <v>47.9357998691052</v>
      </c>
      <c r="I31" s="30" t="n">
        <f aca="false">INDEX('Product Master'!$I$2:$I$31,MATCH($A31,'Product Master'!$A$2:$A$31,0))</f>
        <v>30</v>
      </c>
      <c r="J31" s="31" t="n">
        <f aca="false">INDEX('Product Master'!$J$2:$J$31,MATCH($A31,'Product Master'!$A$2:$A$31,0))</f>
        <v>87.15</v>
      </c>
      <c r="K31" s="32" t="n">
        <f aca="false">INDEX('Product Master'!$K$2:$K$31,MATCH($A31,'Product Master'!$A$2:$A$31,0))</f>
        <v>0.211</v>
      </c>
      <c r="L31" s="33" t="n">
        <f aca="false">E31*K31</f>
        <v>0.023632</v>
      </c>
      <c r="M31" s="25" t="n">
        <f aca="false">IFERROR(SQRT(2*F31*J31/L31),0)</f>
        <v>7773.55958830868</v>
      </c>
      <c r="N31" s="34" t="n">
        <f aca="false">F31/365</f>
        <v>22.4465753424658</v>
      </c>
      <c r="O31" s="25" t="n">
        <f aca="false">$B$2*H31*SQRT(I31/30)</f>
        <v>79.0940697840236</v>
      </c>
      <c r="P31" s="25" t="n">
        <f aca="false">N31*I31+O31</f>
        <v>752.491330057996</v>
      </c>
      <c r="Q31" s="17" t="n">
        <f aca="false">D31*E31</f>
        <v>791.168</v>
      </c>
      <c r="R31" s="16" t="n">
        <f aca="false">RANK(Q31,$Q$5:$Q$34)</f>
        <v>13</v>
      </c>
      <c r="S31" s="17" t="n">
        <f aca="false">SUMPRODUCT(($R$5:$R$34&lt;=R31)*$Q$5:$Q$34)</f>
        <v>32413.182</v>
      </c>
      <c r="T31" s="32" t="n">
        <f aca="false">S31/SUM($Q$5:$Q$34)</f>
        <v>0.867718266875477</v>
      </c>
      <c r="U31" s="16" t="str">
        <f aca="false">IF(T31&lt;=0.7,"A",IF(T31&lt;=0.9,"B","C"))</f>
        <v>B</v>
      </c>
      <c r="V31" s="16" t="str">
        <f aca="false">IF(D31&lt;P31,"Reorder Now",IF(D31&gt;M31*2,"Overstock","OK"))</f>
        <v>OK</v>
      </c>
      <c r="W31" s="25" t="n">
        <f aca="false">IF(V31="Reorder Now",ROUND(MAX(M31,INDEX('Product Master'!$L$2:$L$31,MATCH($A31,'Product Master'!$A$2:$A$31,0))),0),0)</f>
        <v>0</v>
      </c>
    </row>
    <row r="32" customFormat="false" ht="15" hidden="false" customHeight="false" outlineLevel="0" collapsed="false">
      <c r="A32" s="16" t="str">
        <f aca="false">'Product Master'!A29</f>
        <v>PH-028</v>
      </c>
      <c r="B32" s="16" t="str">
        <f aca="false">'Product Master'!B29</f>
        <v>Ranitidine 150mg Tablets</v>
      </c>
      <c r="C32" s="16" t="str">
        <f aca="false">'Product Master'!C29</f>
        <v>Gastrointestinal</v>
      </c>
      <c r="D32" s="25" t="n">
        <f aca="false">INDEX('Product Master'!$H$2:$H$31,MATCH($A32,'Product Master'!$A$2:$A$31,0))</f>
        <v>7459</v>
      </c>
      <c r="E32" s="29" t="n">
        <f aca="false">INDEX('Product Master'!$F$2:$F$31,MATCH($A32,'Product Master'!$A$2:$A$31,0))</f>
        <v>0.12</v>
      </c>
      <c r="F32" s="25" t="n">
        <f aca="false">INDEX('Monthly Demand'!$O$2:$O$31,MATCH($A32,'Monthly Demand'!$A$2:$A$31,0))</f>
        <v>8149</v>
      </c>
      <c r="G32" s="25" t="n">
        <f aca="false">INDEX('Monthly Demand'!$P$2:$P$31,MATCH($A32,'Monthly Demand'!$A$2:$A$31,0))</f>
        <v>679.083333333333</v>
      </c>
      <c r="H32" s="25" t="n">
        <f aca="false">INDEX('Monthly Demand'!$Q$2:$Q$31,MATCH($A32,'Monthly Demand'!$A$2:$A$31,0))</f>
        <v>47.3832696468304</v>
      </c>
      <c r="I32" s="30" t="n">
        <f aca="false">INDEX('Product Master'!$I$2:$I$31,MATCH($A32,'Product Master'!$A$2:$A$31,0))</f>
        <v>30</v>
      </c>
      <c r="J32" s="31" t="n">
        <f aca="false">INDEX('Product Master'!$J$2:$J$31,MATCH($A32,'Product Master'!$A$2:$A$31,0))</f>
        <v>44.43</v>
      </c>
      <c r="K32" s="32" t="n">
        <f aca="false">INDEX('Product Master'!$K$2:$K$31,MATCH($A32,'Product Master'!$A$2:$A$31,0))</f>
        <v>0.152</v>
      </c>
      <c r="L32" s="33" t="n">
        <f aca="false">E32*K32</f>
        <v>0.01824</v>
      </c>
      <c r="M32" s="25" t="n">
        <f aca="false">IFERROR(SQRT(2*F32*J32/L32),0)</f>
        <v>6300.7594049406</v>
      </c>
      <c r="N32" s="34" t="n">
        <f aca="false">F32/365</f>
        <v>22.3260273972603</v>
      </c>
      <c r="O32" s="25" t="n">
        <f aca="false">$B$2*H32*SQRT(I32/30)</f>
        <v>78.1823949172702</v>
      </c>
      <c r="P32" s="25" t="n">
        <f aca="false">N32*I32+O32</f>
        <v>747.963216835079</v>
      </c>
      <c r="Q32" s="17" t="n">
        <f aca="false">D32*E32</f>
        <v>895.08</v>
      </c>
      <c r="R32" s="16" t="n">
        <f aca="false">RANK(Q32,$Q$5:$Q$34)</f>
        <v>11</v>
      </c>
      <c r="S32" s="17" t="n">
        <f aca="false">SUMPRODUCT(($R$5:$R$34&lt;=R32)*$Q$5:$Q$34)</f>
        <v>30829.93</v>
      </c>
      <c r="T32" s="32" t="n">
        <f aca="false">S32/SUM($Q$5:$Q$34)</f>
        <v>0.825333761661915</v>
      </c>
      <c r="U32" s="16" t="str">
        <f aca="false">IF(T32&lt;=0.7,"A",IF(T32&lt;=0.9,"B","C"))</f>
        <v>B</v>
      </c>
      <c r="V32" s="16" t="str">
        <f aca="false">IF(D32&lt;P32,"Reorder Now",IF(D32&gt;M32*2,"Overstock","OK"))</f>
        <v>OK</v>
      </c>
      <c r="W32" s="25" t="n">
        <f aca="false">IF(V32="Reorder Now",ROUND(MAX(M32,INDEX('Product Master'!$L$2:$L$31,MATCH($A32,'Product Master'!$A$2:$A$31,0))),0),0)</f>
        <v>0</v>
      </c>
    </row>
    <row r="33" customFormat="false" ht="15" hidden="false" customHeight="false" outlineLevel="0" collapsed="false">
      <c r="A33" s="16" t="str">
        <f aca="false">'Product Master'!A30</f>
        <v>PH-029</v>
      </c>
      <c r="B33" s="16" t="str">
        <f aca="false">'Product Master'!B30</f>
        <v>ORS Sachets</v>
      </c>
      <c r="C33" s="16" t="str">
        <f aca="false">'Product Master'!C30</f>
        <v>Gastrointestinal</v>
      </c>
      <c r="D33" s="25" t="n">
        <f aca="false">INDEX('Product Master'!$H$2:$H$31,MATCH($A33,'Product Master'!$A$2:$A$31,0))</f>
        <v>5278</v>
      </c>
      <c r="E33" s="29" t="n">
        <f aca="false">INDEX('Product Master'!$F$2:$F$31,MATCH($A33,'Product Master'!$A$2:$A$31,0))</f>
        <v>0.04</v>
      </c>
      <c r="F33" s="25" t="n">
        <f aca="false">INDEX('Monthly Demand'!$O$2:$O$31,MATCH($A33,'Monthly Demand'!$A$2:$A$31,0))</f>
        <v>5626</v>
      </c>
      <c r="G33" s="25" t="n">
        <f aca="false">INDEX('Monthly Demand'!$P$2:$P$31,MATCH($A33,'Monthly Demand'!$A$2:$A$31,0))</f>
        <v>468.833333333333</v>
      </c>
      <c r="H33" s="25" t="n">
        <f aca="false">INDEX('Monthly Demand'!$Q$2:$Q$31,MATCH($A33,'Monthly Demand'!$A$2:$A$31,0))</f>
        <v>34.6746785613556</v>
      </c>
      <c r="I33" s="30" t="n">
        <f aca="false">INDEX('Product Master'!$I$2:$I$31,MATCH($A33,'Product Master'!$A$2:$A$31,0))</f>
        <v>7</v>
      </c>
      <c r="J33" s="31" t="n">
        <f aca="false">INDEX('Product Master'!$J$2:$J$31,MATCH($A33,'Product Master'!$A$2:$A$31,0))</f>
        <v>142.18</v>
      </c>
      <c r="K33" s="32" t="n">
        <f aca="false">INDEX('Product Master'!$K$2:$K$31,MATCH($A33,'Product Master'!$A$2:$A$31,0))</f>
        <v>0.19</v>
      </c>
      <c r="L33" s="33" t="n">
        <f aca="false">E33*K33</f>
        <v>0.0076</v>
      </c>
      <c r="M33" s="25" t="n">
        <f aca="false">IFERROR(SQRT(2*F33*J33/L33),0)</f>
        <v>14508.6605714982</v>
      </c>
      <c r="N33" s="34" t="n">
        <f aca="false">F33/365</f>
        <v>15.413698630137</v>
      </c>
      <c r="O33" s="25" t="n">
        <f aca="false">$B$2*H33*SQRT(I33/30)</f>
        <v>27.6366106822092</v>
      </c>
      <c r="P33" s="25" t="n">
        <f aca="false">N33*I33+O33</f>
        <v>135.532501093168</v>
      </c>
      <c r="Q33" s="17" t="n">
        <f aca="false">D33*E33</f>
        <v>211.12</v>
      </c>
      <c r="R33" s="16" t="n">
        <f aca="false">RANK(Q33,$Q$5:$Q$34)</f>
        <v>25</v>
      </c>
      <c r="S33" s="17" t="n">
        <f aca="false">SUMPRODUCT(($R$5:$R$34&lt;=R33)*$Q$5:$Q$34)</f>
        <v>37209.05</v>
      </c>
      <c r="T33" s="32" t="n">
        <f aca="false">S33/SUM($Q$5:$Q$34)</f>
        <v>0.996106225488228</v>
      </c>
      <c r="U33" s="16" t="str">
        <f aca="false">IF(T33&lt;=0.7,"A",IF(T33&lt;=0.9,"B","C"))</f>
        <v>C</v>
      </c>
      <c r="V33" s="16" t="str">
        <f aca="false">IF(D33&lt;P33,"Reorder Now",IF(D33&gt;M33*2,"Overstock","OK"))</f>
        <v>OK</v>
      </c>
      <c r="W33" s="25" t="n">
        <f aca="false">IF(V33="Reorder Now",ROUND(MAX(M33,INDEX('Product Master'!$L$2:$L$31,MATCH($A33,'Product Master'!$A$2:$A$31,0))),0),0)</f>
        <v>0</v>
      </c>
    </row>
    <row r="34" customFormat="false" ht="15" hidden="false" customHeight="false" outlineLevel="0" collapsed="false">
      <c r="A34" s="16" t="str">
        <f aca="false">'Product Master'!A31</f>
        <v>PH-030</v>
      </c>
      <c r="B34" s="16" t="str">
        <f aca="false">'Product Master'!B31</f>
        <v>Hydrocortisone Cream 1%</v>
      </c>
      <c r="C34" s="16" t="str">
        <f aca="false">'Product Master'!C31</f>
        <v>Dermatological</v>
      </c>
      <c r="D34" s="25" t="n">
        <f aca="false">INDEX('Product Master'!$H$2:$H$31,MATCH($A34,'Product Master'!$A$2:$A$31,0))</f>
        <v>608</v>
      </c>
      <c r="E34" s="29" t="n">
        <f aca="false">INDEX('Product Master'!$F$2:$F$31,MATCH($A34,'Product Master'!$A$2:$A$31,0))</f>
        <v>1.521</v>
      </c>
      <c r="F34" s="25" t="n">
        <f aca="false">INDEX('Monthly Demand'!$O$2:$O$31,MATCH($A34,'Monthly Demand'!$A$2:$A$31,0))</f>
        <v>698</v>
      </c>
      <c r="G34" s="25" t="n">
        <f aca="false">INDEX('Monthly Demand'!$P$2:$P$31,MATCH($A34,'Monthly Demand'!$A$2:$A$31,0))</f>
        <v>58.1666666666667</v>
      </c>
      <c r="H34" s="25" t="n">
        <f aca="false">INDEX('Monthly Demand'!$Q$2:$Q$31,MATCH($A34,'Monthly Demand'!$A$2:$A$31,0))</f>
        <v>3.7618499639825</v>
      </c>
      <c r="I34" s="30" t="n">
        <f aca="false">INDEX('Product Master'!$I$2:$I$31,MATCH($A34,'Product Master'!$A$2:$A$31,0))</f>
        <v>30</v>
      </c>
      <c r="J34" s="31" t="n">
        <f aca="false">INDEX('Product Master'!$J$2:$J$31,MATCH($A34,'Product Master'!$A$2:$A$31,0))</f>
        <v>77.54</v>
      </c>
      <c r="K34" s="32" t="n">
        <f aca="false">INDEX('Product Master'!$K$2:$K$31,MATCH($A34,'Product Master'!$A$2:$A$31,0))</f>
        <v>0.209</v>
      </c>
      <c r="L34" s="33" t="n">
        <f aca="false">E34*K34</f>
        <v>0.317889</v>
      </c>
      <c r="M34" s="25" t="n">
        <f aca="false">IFERROR(SQRT(2*F34*J34/L34),0)</f>
        <v>583.536273194748</v>
      </c>
      <c r="N34" s="34" t="n">
        <f aca="false">F34/365</f>
        <v>1.91232876712329</v>
      </c>
      <c r="O34" s="25" t="n">
        <f aca="false">$B$2*H34*SQRT(I34/30)</f>
        <v>6.20705244057113</v>
      </c>
      <c r="P34" s="25" t="n">
        <f aca="false">N34*I34+O34</f>
        <v>63.5769154542698</v>
      </c>
      <c r="Q34" s="17" t="n">
        <f aca="false">D34*E34</f>
        <v>924.768</v>
      </c>
      <c r="R34" s="16" t="n">
        <f aca="false">RANK(Q34,$Q$5:$Q$34)</f>
        <v>10</v>
      </c>
      <c r="S34" s="17" t="n">
        <f aca="false">SUMPRODUCT(($R$5:$R$34&lt;=R34)*$Q$5:$Q$34)</f>
        <v>29934.85</v>
      </c>
      <c r="T34" s="32" t="n">
        <f aca="false">S34/SUM($Q$5:$Q$34)</f>
        <v>0.801371989987819</v>
      </c>
      <c r="U34" s="16" t="str">
        <f aca="false">IF(T34&lt;=0.7,"A",IF(T34&lt;=0.9,"B","C"))</f>
        <v>B</v>
      </c>
      <c r="V34" s="16" t="str">
        <f aca="false">IF(D34&lt;P34,"Reorder Now",IF(D34&gt;M34*2,"Overstock","OK"))</f>
        <v>OK</v>
      </c>
      <c r="W34" s="25" t="n">
        <f aca="false">IF(V34="Reorder Now",ROUND(MAX(M34,INDEX('Product Master'!$L$2:$L$31,MATCH($A34,'Product Master'!$A$2:$A$31,0))),0),0)</f>
        <v>0</v>
      </c>
    </row>
  </sheetData>
  <autoFilter ref="A4:W34"/>
  <mergeCells count="1">
    <mergeCell ref="A1:M1"/>
  </mergeCells>
  <conditionalFormatting sqref="V5:V34">
    <cfRule type="cellIs" priority="2" operator="equal" aboveAverage="0" equalAverage="0" bottom="0" percent="0" rank="0" text="" dxfId="8">
      <formula>"Reorder Now"</formula>
    </cfRule>
    <cfRule type="cellIs" priority="3" operator="equal" aboveAverage="0" equalAverage="0" bottom="0" percent="0" rank="0" text="" dxfId="9">
      <formula>"Overstock"</formula>
    </cfRule>
    <cfRule type="cellIs" priority="4" operator="equal" aboveAverage="0" equalAverage="0" bottom="0" percent="0" rank="0" text="" dxfId="10">
      <formula>"OK"</formula>
    </cfRule>
  </conditionalFormatting>
  <conditionalFormatting sqref="U5:U34">
    <cfRule type="cellIs" priority="5" operator="equal" aboveAverage="0" equalAverage="0" bottom="0" percent="0" rank="0" text="" dxfId="10">
      <formula>"A"</formula>
    </cfRule>
    <cfRule type="cellIs" priority="6" operator="equal" aboveAverage="0" equalAverage="0" bottom="0" percent="0" rank="0" text="" dxfId="8">
      <formula>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8" min="7" style="0" width="14"/>
  </cols>
  <sheetData>
    <row r="1" customFormat="false" ht="27.75" hidden="false" customHeight="true" outlineLevel="0" collapsed="false">
      <c r="A1" s="18" t="s">
        <v>83</v>
      </c>
      <c r="B1" s="18" t="s">
        <v>82</v>
      </c>
      <c r="C1" s="18" t="s">
        <v>183</v>
      </c>
      <c r="D1" s="18" t="s">
        <v>184</v>
      </c>
      <c r="E1" s="18" t="s">
        <v>185</v>
      </c>
      <c r="F1" s="18" t="s">
        <v>186</v>
      </c>
      <c r="G1" s="18" t="s">
        <v>187</v>
      </c>
      <c r="H1" s="18" t="s">
        <v>26</v>
      </c>
    </row>
    <row r="2" customFormat="false" ht="15" hidden="false" customHeight="false" outlineLevel="0" collapsed="false">
      <c r="A2" s="19" t="s">
        <v>93</v>
      </c>
      <c r="B2" s="19" t="s">
        <v>94</v>
      </c>
      <c r="C2" s="19" t="s">
        <v>188</v>
      </c>
      <c r="D2" s="35" t="n">
        <v>45970</v>
      </c>
      <c r="E2" s="35" t="n">
        <v>46255</v>
      </c>
      <c r="F2" s="21" t="n">
        <v>3838</v>
      </c>
      <c r="G2" s="25" t="n">
        <f aca="true">E2-TODAY()</f>
        <v>-15</v>
      </c>
      <c r="H2" s="16" t="str">
        <f aca="false">IF(G2&lt;0,"Expired",IF(G2&lt;=90,"Expiring Soon","OK"))</f>
        <v>Expired</v>
      </c>
    </row>
    <row r="3" customFormat="false" ht="15" hidden="false" customHeight="false" outlineLevel="0" collapsed="false">
      <c r="A3" s="19" t="s">
        <v>97</v>
      </c>
      <c r="B3" s="19" t="s">
        <v>98</v>
      </c>
      <c r="C3" s="19" t="s">
        <v>189</v>
      </c>
      <c r="D3" s="35" t="n">
        <v>45779</v>
      </c>
      <c r="E3" s="35" t="n">
        <v>46859</v>
      </c>
      <c r="F3" s="21" t="n">
        <v>7545</v>
      </c>
      <c r="G3" s="25" t="n">
        <f aca="true">E3-TODAY()</f>
        <v>589</v>
      </c>
      <c r="H3" s="16" t="str">
        <f aca="false">IF(G3&lt;0,"Expired",IF(G3&lt;=90,"Expiring Soon","OK"))</f>
        <v>OK</v>
      </c>
    </row>
    <row r="4" customFormat="false" ht="15" hidden="false" customHeight="false" outlineLevel="0" collapsed="false">
      <c r="A4" s="19" t="s">
        <v>100</v>
      </c>
      <c r="B4" s="19" t="s">
        <v>101</v>
      </c>
      <c r="C4" s="19" t="s">
        <v>190</v>
      </c>
      <c r="D4" s="35" t="n">
        <v>45765</v>
      </c>
      <c r="E4" s="35" t="n">
        <v>46845</v>
      </c>
      <c r="F4" s="21" t="n">
        <v>76</v>
      </c>
      <c r="G4" s="25" t="n">
        <f aca="true">E4-TODAY()</f>
        <v>575</v>
      </c>
      <c r="H4" s="16" t="str">
        <f aca="false">IF(G4&lt;0,"Expired",IF(G4&lt;=90,"Expiring Soon","OK"))</f>
        <v>OK</v>
      </c>
    </row>
    <row r="5" customFormat="false" ht="15" hidden="false" customHeight="false" outlineLevel="0" collapsed="false">
      <c r="A5" s="19" t="s">
        <v>103</v>
      </c>
      <c r="B5" s="19" t="s">
        <v>104</v>
      </c>
      <c r="C5" s="19" t="s">
        <v>191</v>
      </c>
      <c r="D5" s="35" t="n">
        <v>45556</v>
      </c>
      <c r="E5" s="35" t="n">
        <v>46636</v>
      </c>
      <c r="F5" s="21" t="n">
        <v>6228</v>
      </c>
      <c r="G5" s="25" t="n">
        <f aca="true">E5-TODAY()</f>
        <v>366</v>
      </c>
      <c r="H5" s="16" t="str">
        <f aca="false">IF(G5&lt;0,"Expired",IF(G5&lt;=90,"Expiring Soon","OK"))</f>
        <v>OK</v>
      </c>
    </row>
    <row r="6" customFormat="false" ht="15" hidden="false" customHeight="false" outlineLevel="0" collapsed="false">
      <c r="A6" s="19" t="s">
        <v>106</v>
      </c>
      <c r="B6" s="19" t="s">
        <v>107</v>
      </c>
      <c r="C6" s="19" t="s">
        <v>192</v>
      </c>
      <c r="D6" s="35" t="n">
        <v>45970</v>
      </c>
      <c r="E6" s="35" t="n">
        <v>46310</v>
      </c>
      <c r="F6" s="21" t="n">
        <v>1698</v>
      </c>
      <c r="G6" s="25" t="n">
        <f aca="true">E6-TODAY()</f>
        <v>40</v>
      </c>
      <c r="H6" s="16" t="str">
        <f aca="false">IF(G6&lt;0,"Expired",IF(G6&lt;=90,"Expiring Soon","OK"))</f>
        <v>Expiring Soon</v>
      </c>
    </row>
    <row r="7" customFormat="false" ht="15" hidden="false" customHeight="false" outlineLevel="0" collapsed="false">
      <c r="A7" s="19" t="s">
        <v>109</v>
      </c>
      <c r="B7" s="19" t="s">
        <v>110</v>
      </c>
      <c r="C7" s="19" t="s">
        <v>193</v>
      </c>
      <c r="D7" s="35" t="n">
        <v>45908</v>
      </c>
      <c r="E7" s="35" t="n">
        <v>46808</v>
      </c>
      <c r="F7" s="21" t="n">
        <v>6221</v>
      </c>
      <c r="G7" s="25" t="n">
        <f aca="true">E7-TODAY()</f>
        <v>538</v>
      </c>
      <c r="H7" s="16" t="str">
        <f aca="false">IF(G7&lt;0,"Expired",IF(G7&lt;=90,"Expiring Soon","OK"))</f>
        <v>OK</v>
      </c>
    </row>
    <row r="8" customFormat="false" ht="15" hidden="false" customHeight="false" outlineLevel="0" collapsed="false">
      <c r="A8" s="19" t="s">
        <v>112</v>
      </c>
      <c r="B8" s="19" t="s">
        <v>113</v>
      </c>
      <c r="C8" s="19" t="s">
        <v>194</v>
      </c>
      <c r="D8" s="35" t="n">
        <v>46023</v>
      </c>
      <c r="E8" s="35" t="n">
        <v>46923</v>
      </c>
      <c r="F8" s="21" t="n">
        <v>3245</v>
      </c>
      <c r="G8" s="25" t="n">
        <f aca="true">E8-TODAY()</f>
        <v>653</v>
      </c>
      <c r="H8" s="16" t="str">
        <f aca="false">IF(G8&lt;0,"Expired",IF(G8&lt;=90,"Expiring Soon","OK"))</f>
        <v>OK</v>
      </c>
    </row>
    <row r="9" customFormat="false" ht="15" hidden="false" customHeight="false" outlineLevel="0" collapsed="false">
      <c r="A9" s="19" t="s">
        <v>114</v>
      </c>
      <c r="B9" s="19" t="s">
        <v>115</v>
      </c>
      <c r="C9" s="19" t="s">
        <v>195</v>
      </c>
      <c r="D9" s="35" t="n">
        <v>45976</v>
      </c>
      <c r="E9" s="35" t="n">
        <v>46876</v>
      </c>
      <c r="F9" s="21" t="n">
        <v>4152</v>
      </c>
      <c r="G9" s="25" t="n">
        <f aca="true">E9-TODAY()</f>
        <v>606</v>
      </c>
      <c r="H9" s="16" t="str">
        <f aca="false">IF(G9&lt;0,"Expired",IF(G9&lt;=90,"Expiring Soon","OK"))</f>
        <v>OK</v>
      </c>
    </row>
    <row r="10" customFormat="false" ht="15" hidden="false" customHeight="false" outlineLevel="0" collapsed="false">
      <c r="A10" s="19" t="s">
        <v>116</v>
      </c>
      <c r="B10" s="19" t="s">
        <v>117</v>
      </c>
      <c r="C10" s="19" t="s">
        <v>196</v>
      </c>
      <c r="D10" s="35" t="n">
        <v>45630</v>
      </c>
      <c r="E10" s="35" t="n">
        <v>46530</v>
      </c>
      <c r="F10" s="21" t="n">
        <v>56</v>
      </c>
      <c r="G10" s="25" t="n">
        <f aca="true">E10-TODAY()</f>
        <v>260</v>
      </c>
      <c r="H10" s="16" t="str">
        <f aca="false">IF(G10&lt;0,"Expired",IF(G10&lt;=90,"Expiring Soon","OK"))</f>
        <v>OK</v>
      </c>
    </row>
    <row r="11" customFormat="false" ht="15" hidden="false" customHeight="false" outlineLevel="0" collapsed="false">
      <c r="A11" s="19" t="s">
        <v>118</v>
      </c>
      <c r="B11" s="19" t="s">
        <v>119</v>
      </c>
      <c r="C11" s="19" t="s">
        <v>197</v>
      </c>
      <c r="D11" s="35" t="n">
        <v>45958</v>
      </c>
      <c r="E11" s="35" t="n">
        <v>46678</v>
      </c>
      <c r="F11" s="21" t="n">
        <v>10322</v>
      </c>
      <c r="G11" s="25" t="n">
        <f aca="true">E11-TODAY()</f>
        <v>408</v>
      </c>
      <c r="H11" s="16" t="str">
        <f aca="false">IF(G11&lt;0,"Expired",IF(G11&lt;=90,"Expiring Soon","OK"))</f>
        <v>OK</v>
      </c>
    </row>
    <row r="12" customFormat="false" ht="15" hidden="false" customHeight="false" outlineLevel="0" collapsed="false">
      <c r="A12" s="19" t="s">
        <v>120</v>
      </c>
      <c r="B12" s="19" t="s">
        <v>121</v>
      </c>
      <c r="C12" s="19" t="s">
        <v>198</v>
      </c>
      <c r="D12" s="35" t="n">
        <v>45970</v>
      </c>
      <c r="E12" s="35" t="n">
        <v>46265</v>
      </c>
      <c r="F12" s="21" t="n">
        <v>368</v>
      </c>
      <c r="G12" s="25" t="n">
        <f aca="true">E12-TODAY()</f>
        <v>-5</v>
      </c>
      <c r="H12" s="16" t="str">
        <f aca="false">IF(G12&lt;0,"Expired",IF(G12&lt;=90,"Expiring Soon","OK"))</f>
        <v>Expired</v>
      </c>
    </row>
    <row r="13" customFormat="false" ht="15" hidden="false" customHeight="false" outlineLevel="0" collapsed="false">
      <c r="A13" s="19" t="s">
        <v>123</v>
      </c>
      <c r="B13" s="19" t="s">
        <v>124</v>
      </c>
      <c r="C13" s="19" t="s">
        <v>199</v>
      </c>
      <c r="D13" s="35" t="n">
        <v>46153</v>
      </c>
      <c r="E13" s="35" t="n">
        <v>46873</v>
      </c>
      <c r="F13" s="21" t="n">
        <v>5007</v>
      </c>
      <c r="G13" s="25" t="n">
        <f aca="true">E13-TODAY()</f>
        <v>603</v>
      </c>
      <c r="H13" s="16" t="str">
        <f aca="false">IF(G13&lt;0,"Expired",IF(G13&lt;=90,"Expiring Soon","OK"))</f>
        <v>OK</v>
      </c>
    </row>
    <row r="14" customFormat="false" ht="15" hidden="false" customHeight="false" outlineLevel="0" collapsed="false">
      <c r="A14" s="19" t="s">
        <v>125</v>
      </c>
      <c r="B14" s="19" t="s">
        <v>126</v>
      </c>
      <c r="C14" s="19" t="s">
        <v>200</v>
      </c>
      <c r="D14" s="35" t="n">
        <v>45824</v>
      </c>
      <c r="E14" s="35" t="n">
        <v>46724</v>
      </c>
      <c r="F14" s="21" t="n">
        <v>3015</v>
      </c>
      <c r="G14" s="25" t="n">
        <f aca="true">E14-TODAY()</f>
        <v>454</v>
      </c>
      <c r="H14" s="16" t="str">
        <f aca="false">IF(G14&lt;0,"Expired",IF(G14&lt;=90,"Expiring Soon","OK"))</f>
        <v>OK</v>
      </c>
    </row>
    <row r="15" customFormat="false" ht="15" hidden="false" customHeight="false" outlineLevel="0" collapsed="false">
      <c r="A15" s="19" t="s">
        <v>127</v>
      </c>
      <c r="B15" s="19" t="s">
        <v>128</v>
      </c>
      <c r="C15" s="19" t="s">
        <v>201</v>
      </c>
      <c r="D15" s="35" t="n">
        <v>45464</v>
      </c>
      <c r="E15" s="35" t="n">
        <v>46364</v>
      </c>
      <c r="F15" s="21" t="n">
        <v>79</v>
      </c>
      <c r="G15" s="25" t="n">
        <f aca="true">E15-TODAY()</f>
        <v>94</v>
      </c>
      <c r="H15" s="16" t="str">
        <f aca="false">IF(G15&lt;0,"Expired",IF(G15&lt;=90,"Expiring Soon","OK"))</f>
        <v>OK</v>
      </c>
    </row>
    <row r="16" customFormat="false" ht="15" hidden="false" customHeight="false" outlineLevel="0" collapsed="false">
      <c r="A16" s="19" t="s">
        <v>129</v>
      </c>
      <c r="B16" s="19" t="s">
        <v>130</v>
      </c>
      <c r="C16" s="19" t="s">
        <v>202</v>
      </c>
      <c r="D16" s="35" t="n">
        <v>45753</v>
      </c>
      <c r="E16" s="35" t="n">
        <v>46653</v>
      </c>
      <c r="F16" s="21" t="n">
        <v>4374</v>
      </c>
      <c r="G16" s="25" t="n">
        <f aca="true">E16-TODAY()</f>
        <v>383</v>
      </c>
      <c r="H16" s="16" t="str">
        <f aca="false">IF(G16&lt;0,"Expired",IF(G16&lt;=90,"Expiring Soon","OK"))</f>
        <v>OK</v>
      </c>
    </row>
    <row r="17" customFormat="false" ht="15" hidden="false" customHeight="false" outlineLevel="0" collapsed="false">
      <c r="A17" s="19" t="s">
        <v>131</v>
      </c>
      <c r="B17" s="19" t="s">
        <v>132</v>
      </c>
      <c r="C17" s="19" t="s">
        <v>203</v>
      </c>
      <c r="D17" s="35" t="n">
        <v>45738</v>
      </c>
      <c r="E17" s="35" t="n">
        <v>46638</v>
      </c>
      <c r="F17" s="21" t="n">
        <v>3285</v>
      </c>
      <c r="G17" s="25" t="n">
        <f aca="true">E17-TODAY()</f>
        <v>368</v>
      </c>
      <c r="H17" s="16" t="str">
        <f aca="false">IF(G17&lt;0,"Expired",IF(G17&lt;=90,"Expiring Soon","OK"))</f>
        <v>OK</v>
      </c>
    </row>
    <row r="18" customFormat="false" ht="15" hidden="false" customHeight="false" outlineLevel="0" collapsed="false">
      <c r="A18" s="19" t="s">
        <v>133</v>
      </c>
      <c r="B18" s="19" t="s">
        <v>134</v>
      </c>
      <c r="C18" s="19" t="s">
        <v>204</v>
      </c>
      <c r="D18" s="35" t="n">
        <v>46223</v>
      </c>
      <c r="E18" s="35" t="n">
        <v>46943</v>
      </c>
      <c r="F18" s="21" t="n">
        <v>1533</v>
      </c>
      <c r="G18" s="25" t="n">
        <f aca="true">E18-TODAY()</f>
        <v>673</v>
      </c>
      <c r="H18" s="16" t="str">
        <f aca="false">IF(G18&lt;0,"Expired",IF(G18&lt;=90,"Expiring Soon","OK"))</f>
        <v>OK</v>
      </c>
    </row>
    <row r="19" customFormat="false" ht="15" hidden="false" customHeight="false" outlineLevel="0" collapsed="false">
      <c r="A19" s="19" t="s">
        <v>135</v>
      </c>
      <c r="B19" s="19" t="s">
        <v>136</v>
      </c>
      <c r="C19" s="19" t="s">
        <v>205</v>
      </c>
      <c r="D19" s="35" t="n">
        <v>46014</v>
      </c>
      <c r="E19" s="35" t="n">
        <v>46734</v>
      </c>
      <c r="F19" s="21" t="n">
        <v>5564</v>
      </c>
      <c r="G19" s="25" t="n">
        <f aca="true">E19-TODAY()</f>
        <v>464</v>
      </c>
      <c r="H19" s="16" t="str">
        <f aca="false">IF(G19&lt;0,"Expired",IF(G19&lt;=90,"Expiring Soon","OK"))</f>
        <v>OK</v>
      </c>
    </row>
    <row r="20" customFormat="false" ht="15" hidden="false" customHeight="false" outlineLevel="0" collapsed="false">
      <c r="A20" s="19" t="s">
        <v>137</v>
      </c>
      <c r="B20" s="19" t="s">
        <v>138</v>
      </c>
      <c r="C20" s="19" t="s">
        <v>206</v>
      </c>
      <c r="D20" s="35" t="n">
        <v>45970</v>
      </c>
      <c r="E20" s="35" t="n">
        <v>46295</v>
      </c>
      <c r="F20" s="21" t="n">
        <v>264</v>
      </c>
      <c r="G20" s="25" t="n">
        <f aca="true">E20-TODAY()</f>
        <v>25</v>
      </c>
      <c r="H20" s="16" t="str">
        <f aca="false">IF(G20&lt;0,"Expired",IF(G20&lt;=90,"Expiring Soon","OK"))</f>
        <v>Expiring Soon</v>
      </c>
    </row>
    <row r="21" customFormat="false" ht="15" hidden="false" customHeight="false" outlineLevel="0" collapsed="false">
      <c r="A21" s="19" t="s">
        <v>139</v>
      </c>
      <c r="B21" s="19" t="s">
        <v>140</v>
      </c>
      <c r="C21" s="19" t="s">
        <v>207</v>
      </c>
      <c r="D21" s="35" t="n">
        <v>45943</v>
      </c>
      <c r="E21" s="35" t="n">
        <v>46483</v>
      </c>
      <c r="F21" s="21" t="n">
        <v>5</v>
      </c>
      <c r="G21" s="25" t="n">
        <f aca="true">E21-TODAY()</f>
        <v>213</v>
      </c>
      <c r="H21" s="16" t="str">
        <f aca="false">IF(G21&lt;0,"Expired",IF(G21&lt;=90,"Expiring Soon","OK"))</f>
        <v>OK</v>
      </c>
    </row>
    <row r="22" customFormat="false" ht="15" hidden="false" customHeight="false" outlineLevel="0" collapsed="false">
      <c r="A22" s="19" t="s">
        <v>141</v>
      </c>
      <c r="B22" s="19" t="s">
        <v>142</v>
      </c>
      <c r="C22" s="19" t="s">
        <v>208</v>
      </c>
      <c r="D22" s="35" t="n">
        <v>45957</v>
      </c>
      <c r="E22" s="35" t="n">
        <v>46497</v>
      </c>
      <c r="F22" s="21" t="n">
        <v>254</v>
      </c>
      <c r="G22" s="25" t="n">
        <f aca="true">E22-TODAY()</f>
        <v>227</v>
      </c>
      <c r="H22" s="16" t="str">
        <f aca="false">IF(G22&lt;0,"Expired",IF(G22&lt;=90,"Expiring Soon","OK"))</f>
        <v>OK</v>
      </c>
    </row>
    <row r="23" customFormat="false" ht="15" hidden="false" customHeight="false" outlineLevel="0" collapsed="false">
      <c r="A23" s="19" t="s">
        <v>143</v>
      </c>
      <c r="B23" s="19" t="s">
        <v>144</v>
      </c>
      <c r="C23" s="19" t="s">
        <v>209</v>
      </c>
      <c r="D23" s="35" t="n">
        <v>45805</v>
      </c>
      <c r="E23" s="35" t="n">
        <v>46885</v>
      </c>
      <c r="F23" s="21" t="n">
        <v>7548</v>
      </c>
      <c r="G23" s="25" t="n">
        <f aca="true">E23-TODAY()</f>
        <v>615</v>
      </c>
      <c r="H23" s="16" t="str">
        <f aca="false">IF(G23&lt;0,"Expired",IF(G23&lt;=90,"Expiring Soon","OK"))</f>
        <v>OK</v>
      </c>
    </row>
    <row r="24" customFormat="false" ht="15" hidden="false" customHeight="false" outlineLevel="0" collapsed="false">
      <c r="A24" s="19" t="s">
        <v>145</v>
      </c>
      <c r="B24" s="19" t="s">
        <v>146</v>
      </c>
      <c r="C24" s="19" t="s">
        <v>210</v>
      </c>
      <c r="D24" s="35" t="n">
        <v>45677</v>
      </c>
      <c r="E24" s="35" t="n">
        <v>46757</v>
      </c>
      <c r="F24" s="21" t="n">
        <v>6101</v>
      </c>
      <c r="G24" s="25" t="n">
        <f aca="true">E24-TODAY()</f>
        <v>487</v>
      </c>
      <c r="H24" s="16" t="str">
        <f aca="false">IF(G24&lt;0,"Expired",IF(G24&lt;=90,"Expiring Soon","OK"))</f>
        <v>OK</v>
      </c>
    </row>
    <row r="25" customFormat="false" ht="15" hidden="false" customHeight="false" outlineLevel="0" collapsed="false">
      <c r="A25" s="19" t="s">
        <v>147</v>
      </c>
      <c r="B25" s="19" t="s">
        <v>148</v>
      </c>
      <c r="C25" s="19" t="s">
        <v>211</v>
      </c>
      <c r="D25" s="35" t="n">
        <v>45521</v>
      </c>
      <c r="E25" s="35" t="n">
        <v>46601</v>
      </c>
      <c r="F25" s="21" t="n">
        <v>7982</v>
      </c>
      <c r="G25" s="25" t="n">
        <f aca="true">E25-TODAY()</f>
        <v>331</v>
      </c>
      <c r="H25" s="16" t="str">
        <f aca="false">IF(G25&lt;0,"Expired",IF(G25&lt;=90,"Expiring Soon","OK"))</f>
        <v>OK</v>
      </c>
    </row>
    <row r="26" customFormat="false" ht="15" hidden="false" customHeight="false" outlineLevel="0" collapsed="false">
      <c r="A26" s="19" t="s">
        <v>149</v>
      </c>
      <c r="B26" s="19" t="s">
        <v>150</v>
      </c>
      <c r="C26" s="19" t="s">
        <v>212</v>
      </c>
      <c r="D26" s="35" t="n">
        <v>45927</v>
      </c>
      <c r="E26" s="35" t="n">
        <v>46647</v>
      </c>
      <c r="F26" s="21" t="n">
        <v>17</v>
      </c>
      <c r="G26" s="25" t="n">
        <f aca="true">E26-TODAY()</f>
        <v>377</v>
      </c>
      <c r="H26" s="16" t="str">
        <f aca="false">IF(G26&lt;0,"Expired",IF(G26&lt;=90,"Expiring Soon","OK"))</f>
        <v>OK</v>
      </c>
    </row>
    <row r="27" customFormat="false" ht="15" hidden="false" customHeight="false" outlineLevel="0" collapsed="false">
      <c r="A27" s="19" t="s">
        <v>151</v>
      </c>
      <c r="B27" s="19" t="s">
        <v>152</v>
      </c>
      <c r="C27" s="19" t="s">
        <v>213</v>
      </c>
      <c r="D27" s="35" t="n">
        <v>46117</v>
      </c>
      <c r="E27" s="35" t="n">
        <v>46837</v>
      </c>
      <c r="F27" s="21" t="n">
        <v>10633</v>
      </c>
      <c r="G27" s="25" t="n">
        <f aca="true">E27-TODAY()</f>
        <v>567</v>
      </c>
      <c r="H27" s="16" t="str">
        <f aca="false">IF(G27&lt;0,"Expired",IF(G27&lt;=90,"Expiring Soon","OK"))</f>
        <v>OK</v>
      </c>
    </row>
    <row r="28" customFormat="false" ht="15" hidden="false" customHeight="false" outlineLevel="0" collapsed="false">
      <c r="A28" s="19" t="s">
        <v>153</v>
      </c>
      <c r="B28" s="19" t="s">
        <v>154</v>
      </c>
      <c r="C28" s="19" t="s">
        <v>214</v>
      </c>
      <c r="D28" s="35" t="n">
        <v>45917</v>
      </c>
      <c r="E28" s="35" t="n">
        <v>46817</v>
      </c>
      <c r="F28" s="21" t="n">
        <v>3954</v>
      </c>
      <c r="G28" s="25" t="n">
        <f aca="true">E28-TODAY()</f>
        <v>547</v>
      </c>
      <c r="H28" s="16" t="str">
        <f aca="false">IF(G28&lt;0,"Expired",IF(G28&lt;=90,"Expiring Soon","OK"))</f>
        <v>OK</v>
      </c>
    </row>
    <row r="29" customFormat="false" ht="15" hidden="false" customHeight="false" outlineLevel="0" collapsed="false">
      <c r="A29" s="19" t="s">
        <v>155</v>
      </c>
      <c r="B29" s="19" t="s">
        <v>156</v>
      </c>
      <c r="C29" s="19" t="s">
        <v>215</v>
      </c>
      <c r="D29" s="35" t="n">
        <v>45692</v>
      </c>
      <c r="E29" s="35" t="n">
        <v>46592</v>
      </c>
      <c r="F29" s="21" t="n">
        <v>7275</v>
      </c>
      <c r="G29" s="25" t="n">
        <f aca="true">E29-TODAY()</f>
        <v>322</v>
      </c>
      <c r="H29" s="16" t="str">
        <f aca="false">IF(G29&lt;0,"Expired",IF(G29&lt;=90,"Expiring Soon","OK"))</f>
        <v>OK</v>
      </c>
    </row>
    <row r="30" customFormat="false" ht="15" hidden="false" customHeight="false" outlineLevel="0" collapsed="false">
      <c r="A30" s="19" t="s">
        <v>157</v>
      </c>
      <c r="B30" s="19" t="s">
        <v>158</v>
      </c>
      <c r="C30" s="19" t="s">
        <v>216</v>
      </c>
      <c r="D30" s="35" t="n">
        <v>45970</v>
      </c>
      <c r="E30" s="35" t="n">
        <v>46330</v>
      </c>
      <c r="F30" s="21" t="n">
        <v>3127</v>
      </c>
      <c r="G30" s="25" t="n">
        <f aca="true">E30-TODAY()</f>
        <v>60</v>
      </c>
      <c r="H30" s="16" t="str">
        <f aca="false">IF(G30&lt;0,"Expired",IF(G30&lt;=90,"Expiring Soon","OK"))</f>
        <v>Expiring Soon</v>
      </c>
    </row>
    <row r="31" customFormat="false" ht="15" hidden="false" customHeight="false" outlineLevel="0" collapsed="false">
      <c r="A31" s="19" t="s">
        <v>159</v>
      </c>
      <c r="B31" s="19" t="s">
        <v>160</v>
      </c>
      <c r="C31" s="19" t="s">
        <v>217</v>
      </c>
      <c r="D31" s="35" t="n">
        <v>46019</v>
      </c>
      <c r="E31" s="35" t="n">
        <v>46739</v>
      </c>
      <c r="F31" s="21" t="n">
        <v>528</v>
      </c>
      <c r="G31" s="25" t="n">
        <f aca="true">E31-TODAY()</f>
        <v>469</v>
      </c>
      <c r="H31" s="16" t="str">
        <f aca="false">IF(G31&lt;0,"Expired",IF(G31&lt;=90,"Expiring Soon","OK"))</f>
        <v>OK</v>
      </c>
    </row>
    <row r="32" customFormat="false" ht="15" hidden="false" customHeight="false" outlineLevel="0" collapsed="false">
      <c r="A32" s="19" t="s">
        <v>93</v>
      </c>
      <c r="B32" s="19" t="s">
        <v>94</v>
      </c>
      <c r="C32" s="19" t="s">
        <v>218</v>
      </c>
      <c r="D32" s="35" t="n">
        <v>46248</v>
      </c>
      <c r="E32" s="35" t="n">
        <v>47328</v>
      </c>
      <c r="F32" s="21" t="n">
        <v>3105</v>
      </c>
      <c r="G32" s="25" t="n">
        <f aca="true">E32-TODAY()</f>
        <v>1058</v>
      </c>
      <c r="H32" s="16" t="str">
        <f aca="false">IF(G32&lt;0,"Expired",IF(G32&lt;=90,"Expiring Soon","OK"))</f>
        <v>OK</v>
      </c>
    </row>
    <row r="33" customFormat="false" ht="15" hidden="false" customHeight="false" outlineLevel="0" collapsed="false">
      <c r="A33" s="19" t="s">
        <v>106</v>
      </c>
      <c r="B33" s="19" t="s">
        <v>107</v>
      </c>
      <c r="C33" s="19" t="s">
        <v>219</v>
      </c>
      <c r="D33" s="35" t="n">
        <v>46217</v>
      </c>
      <c r="E33" s="35" t="n">
        <v>47117</v>
      </c>
      <c r="F33" s="21" t="n">
        <v>1039</v>
      </c>
      <c r="G33" s="25" t="n">
        <f aca="true">E33-TODAY()</f>
        <v>847</v>
      </c>
      <c r="H33" s="16" t="str">
        <f aca="false">IF(G33&lt;0,"Expired",IF(G33&lt;=90,"Expiring Soon","OK"))</f>
        <v>OK</v>
      </c>
    </row>
    <row r="34" customFormat="false" ht="15" hidden="false" customHeight="false" outlineLevel="0" collapsed="false">
      <c r="A34" s="19" t="s">
        <v>120</v>
      </c>
      <c r="B34" s="19" t="s">
        <v>121</v>
      </c>
      <c r="C34" s="19" t="s">
        <v>220</v>
      </c>
      <c r="D34" s="35" t="n">
        <v>46247</v>
      </c>
      <c r="E34" s="35" t="n">
        <v>46967</v>
      </c>
      <c r="F34" s="21" t="n">
        <v>224</v>
      </c>
      <c r="G34" s="25" t="n">
        <f aca="true">E34-TODAY()</f>
        <v>697</v>
      </c>
      <c r="H34" s="16" t="str">
        <f aca="false">IF(G34&lt;0,"Expired",IF(G34&lt;=90,"Expiring Soon","OK"))</f>
        <v>OK</v>
      </c>
    </row>
    <row r="35" customFormat="false" ht="15" hidden="false" customHeight="false" outlineLevel="0" collapsed="false">
      <c r="A35" s="19" t="s">
        <v>137</v>
      </c>
      <c r="B35" s="19" t="s">
        <v>138</v>
      </c>
      <c r="C35" s="19" t="s">
        <v>221</v>
      </c>
      <c r="D35" s="35" t="n">
        <v>46212</v>
      </c>
      <c r="E35" s="35" t="n">
        <v>46752</v>
      </c>
      <c r="F35" s="21" t="n">
        <v>145</v>
      </c>
      <c r="G35" s="25" t="n">
        <f aca="true">E35-TODAY()</f>
        <v>482</v>
      </c>
      <c r="H35" s="16" t="str">
        <f aca="false">IF(G35&lt;0,"Expired",IF(G35&lt;=90,"Expiring Soon","OK"))</f>
        <v>OK</v>
      </c>
    </row>
    <row r="36" customFormat="false" ht="15" hidden="false" customHeight="false" outlineLevel="0" collapsed="false">
      <c r="A36" s="19" t="s">
        <v>157</v>
      </c>
      <c r="B36" s="19" t="s">
        <v>158</v>
      </c>
      <c r="C36" s="19" t="s">
        <v>222</v>
      </c>
      <c r="D36" s="35" t="n">
        <v>46251</v>
      </c>
      <c r="E36" s="35" t="n">
        <v>47151</v>
      </c>
      <c r="F36" s="21" t="n">
        <v>2154</v>
      </c>
      <c r="G36" s="25" t="n">
        <f aca="true">E36-TODAY()</f>
        <v>881</v>
      </c>
      <c r="H36" s="16" t="str">
        <f aca="false">IF(G36&lt;0,"Expired",IF(G36&lt;=90,"Expiring Soon","OK"))</f>
        <v>OK</v>
      </c>
    </row>
    <row r="37" customFormat="false" ht="15" hidden="false" customHeight="false" outlineLevel="0" collapsed="false">
      <c r="A37" s="19" t="s">
        <v>118</v>
      </c>
      <c r="B37" s="19" t="s">
        <v>119</v>
      </c>
      <c r="C37" s="19" t="s">
        <v>223</v>
      </c>
      <c r="D37" s="35" t="n">
        <v>46246</v>
      </c>
      <c r="E37" s="35" t="n">
        <v>46966</v>
      </c>
      <c r="F37" s="21" t="n">
        <v>4037</v>
      </c>
      <c r="G37" s="25" t="n">
        <f aca="true">E37-TODAY()</f>
        <v>696</v>
      </c>
      <c r="H37" s="16" t="str">
        <f aca="false">IF(G37&lt;0,"Expired",IF(G37&lt;=90,"Expiring Soon","OK"))</f>
        <v>OK</v>
      </c>
    </row>
    <row r="38" customFormat="false" ht="15" hidden="false" customHeight="false" outlineLevel="0" collapsed="false">
      <c r="A38" s="19" t="s">
        <v>143</v>
      </c>
      <c r="B38" s="19" t="s">
        <v>144</v>
      </c>
      <c r="C38" s="19" t="s">
        <v>224</v>
      </c>
      <c r="D38" s="35" t="n">
        <v>46231</v>
      </c>
      <c r="E38" s="35" t="n">
        <v>47311</v>
      </c>
      <c r="F38" s="21" t="n">
        <v>2555</v>
      </c>
      <c r="G38" s="25" t="n">
        <f aca="true">E38-TODAY()</f>
        <v>1041</v>
      </c>
      <c r="H38" s="16" t="str">
        <f aca="false">IF(G38&lt;0,"Expired",IF(G38&lt;=90,"Expiring Soon","OK"))</f>
        <v>OK</v>
      </c>
    </row>
    <row r="39" customFormat="false" ht="15" hidden="false" customHeight="false" outlineLevel="0" collapsed="false">
      <c r="A39" s="19" t="s">
        <v>155</v>
      </c>
      <c r="B39" s="19" t="s">
        <v>156</v>
      </c>
      <c r="C39" s="19" t="s">
        <v>225</v>
      </c>
      <c r="D39" s="35" t="n">
        <v>46263</v>
      </c>
      <c r="E39" s="35" t="n">
        <v>47163</v>
      </c>
      <c r="F39" s="21" t="n">
        <v>4417</v>
      </c>
      <c r="G39" s="25" t="n">
        <f aca="true">E39-TODAY()</f>
        <v>893</v>
      </c>
      <c r="H39" s="16" t="str">
        <f aca="false">IF(G39&lt;0,"Expired",IF(G39&lt;=90,"Expiring Soon","OK"))</f>
        <v>OK</v>
      </c>
    </row>
    <row r="40" customFormat="false" ht="15" hidden="false" customHeight="false" outlineLevel="0" collapsed="false">
      <c r="A40" s="19" t="s">
        <v>97</v>
      </c>
      <c r="B40" s="19" t="s">
        <v>98</v>
      </c>
      <c r="C40" s="19" t="s">
        <v>226</v>
      </c>
      <c r="D40" s="35" t="n">
        <v>46230</v>
      </c>
      <c r="E40" s="35" t="n">
        <v>47310</v>
      </c>
      <c r="F40" s="21" t="n">
        <v>4703</v>
      </c>
      <c r="G40" s="25" t="n">
        <f aca="true">E40-TODAY()</f>
        <v>1040</v>
      </c>
      <c r="H40" s="16" t="str">
        <f aca="false">IF(G40&lt;0,"Expired",IF(G40&lt;=90,"Expiring Soon","OK"))</f>
        <v>OK</v>
      </c>
    </row>
    <row r="41" customFormat="false" ht="15" hidden="false" customHeight="false" outlineLevel="0" collapsed="false">
      <c r="A41" s="19" t="s">
        <v>133</v>
      </c>
      <c r="B41" s="19" t="s">
        <v>134</v>
      </c>
      <c r="C41" s="19" t="s">
        <v>227</v>
      </c>
      <c r="D41" s="35" t="n">
        <v>46257</v>
      </c>
      <c r="E41" s="35" t="n">
        <v>46977</v>
      </c>
      <c r="F41" s="21" t="n">
        <v>1378</v>
      </c>
      <c r="G41" s="25" t="n">
        <f aca="true">E41-TODAY()</f>
        <v>707</v>
      </c>
      <c r="H41" s="16" t="str">
        <f aca="false">IF(G41&lt;0,"Expired",IF(G41&lt;=90,"Expiring Soon","OK"))</f>
        <v>OK</v>
      </c>
    </row>
  </sheetData>
  <autoFilter ref="A1:H41"/>
  <conditionalFormatting sqref="H2:H41">
    <cfRule type="cellIs" priority="2" operator="equal" aboveAverage="0" equalAverage="0" bottom="0" percent="0" rank="0" text="" dxfId="8">
      <formula>"Expired"</formula>
    </cfRule>
    <cfRule type="cellIs" priority="3" operator="equal" aboveAverage="0" equalAverage="0" bottom="0" percent="0" rank="0" text="" dxfId="9">
      <formula>"Expiring Soon"</formula>
    </cfRule>
    <cfRule type="cellIs" priority="4" operator="equal" aboveAverage="0" equalAverage="0" bottom="0" percent="0" rank="0" text="" dxfId="10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2026-09-05T20:37:37Z</dcterms:created>
  <dc:creator>openpyxl</dc:creator>
  <dc:description/>
  <dc:language>en-US</dc:language>
  <cp:lastModifiedBy/>
  <dcterms:modified xsi:type="dcterms:W3CDTF">2026-09-05T20:37:39Z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